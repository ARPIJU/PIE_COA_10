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macgmgroup.sharepoint.com/sites/CMA-CCACFOE/FOE/4 - Documentation/4.1 - CCAC/4.1.1 - Referenced documentation/FORM/"/>
    </mc:Choice>
  </mc:AlternateContent>
  <xr:revisionPtr revIDLastSave="227" documentId="13_ncr:1_{C20A0A52-2A7C-409E-ACA8-4AF6036F0F36}" xr6:coauthVersionLast="47" xr6:coauthVersionMax="47" xr10:uidLastSave="{72285699-1589-4793-9217-3C913789ED8B}"/>
  <bookViews>
    <workbookView xWindow="-120" yWindow="-120" windowWidth="29040" windowHeight="15720" firstSheet="1" activeTab="4" xr2:uid="{00000000-000D-0000-FFFF-FFFF00000000}"/>
  </bookViews>
  <sheets>
    <sheet name="Front Page" sheetId="9" r:id="rId1"/>
    <sheet name="READ ME" sheetId="11" r:id="rId2"/>
    <sheet name="FHMRB" sheetId="1" r:id="rId3"/>
    <sheet name="FHMRF" sheetId="3" r:id="rId4"/>
    <sheet name="FHMRO" sheetId="12" r:id="rId5"/>
    <sheet name="FHMRI" sheetId="4" r:id="rId6"/>
    <sheet name="Constants" sheetId="5" r:id="rId7"/>
    <sheet name="Engine detail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4" l="1"/>
  <c r="I36" i="4" s="1"/>
  <c r="M36" i="4" s="1"/>
  <c r="J36" i="4"/>
  <c r="K36" i="4" s="1"/>
  <c r="L36" i="4" s="1"/>
  <c r="H35" i="4"/>
  <c r="I35" i="4" s="1"/>
  <c r="M35" i="4" s="1"/>
  <c r="J35" i="4"/>
  <c r="K35" i="4" s="1"/>
  <c r="L35" i="4" s="1"/>
  <c r="H34" i="4"/>
  <c r="I34" i="4"/>
  <c r="M34" i="4" s="1"/>
  <c r="J34" i="4"/>
  <c r="K34" i="4" s="1"/>
  <c r="L34" i="4" s="1"/>
  <c r="H33" i="4"/>
  <c r="I33" i="4" s="1"/>
  <c r="M33" i="4" s="1"/>
  <c r="J33" i="4"/>
  <c r="K33" i="4" s="1"/>
  <c r="L33" i="4" s="1"/>
  <c r="J27" i="4"/>
  <c r="K27" i="4" s="1"/>
  <c r="L27" i="4" s="1"/>
  <c r="H32" i="4"/>
  <c r="I32" i="4"/>
  <c r="M32" i="4" s="1"/>
  <c r="J32" i="4"/>
  <c r="K32" i="4"/>
  <c r="L32" i="4" s="1"/>
  <c r="H31" i="4"/>
  <c r="I31" i="4" s="1"/>
  <c r="M31" i="4" s="1"/>
  <c r="J31" i="4"/>
  <c r="K31" i="4" s="1"/>
  <c r="L31" i="4" s="1"/>
  <c r="H30" i="4"/>
  <c r="I30" i="4" s="1"/>
  <c r="M30" i="4" s="1"/>
  <c r="J30" i="4"/>
  <c r="K30" i="4" s="1"/>
  <c r="L30" i="4" s="1"/>
  <c r="H29" i="4"/>
  <c r="I29" i="4" s="1"/>
  <c r="M29" i="4" s="1"/>
  <c r="J29" i="4"/>
  <c r="K29" i="4" s="1"/>
  <c r="L29" i="4" s="1"/>
  <c r="H27" i="4"/>
  <c r="I27" i="4" s="1"/>
  <c r="M27" i="4" s="1"/>
  <c r="H28" i="4"/>
  <c r="I28" i="4" s="1"/>
  <c r="M28" i="4" s="1"/>
  <c r="J28" i="4"/>
  <c r="K28" i="4" s="1"/>
  <c r="L28" i="4" s="1"/>
  <c r="F3" i="10"/>
  <c r="F4" i="10"/>
  <c r="F6" i="10"/>
  <c r="F7" i="10"/>
  <c r="F9" i="10"/>
  <c r="F10" i="10"/>
  <c r="F11" i="10"/>
  <c r="F12" i="10"/>
  <c r="J3" i="4" l="1"/>
  <c r="K3" i="4" s="1"/>
  <c r="L3" i="4" s="1"/>
  <c r="J4" i="4"/>
  <c r="K4" i="4" s="1"/>
  <c r="L4" i="4" s="1"/>
  <c r="J5" i="4"/>
  <c r="K5" i="4" s="1"/>
  <c r="L5" i="4" s="1"/>
  <c r="J6" i="4"/>
  <c r="K6" i="4" s="1"/>
  <c r="L6" i="4" s="1"/>
  <c r="J7" i="4"/>
  <c r="K7" i="4" s="1"/>
  <c r="L7" i="4" s="1"/>
  <c r="J8" i="4"/>
  <c r="K8" i="4" s="1"/>
  <c r="L8" i="4" s="1"/>
  <c r="J9" i="4"/>
  <c r="K9" i="4" s="1"/>
  <c r="L9" i="4" s="1"/>
  <c r="J10" i="4"/>
  <c r="K10" i="4" s="1"/>
  <c r="L10" i="4" s="1"/>
  <c r="J11" i="4"/>
  <c r="K11" i="4" s="1"/>
  <c r="L11" i="4" s="1"/>
  <c r="J12" i="4"/>
  <c r="K12" i="4" s="1"/>
  <c r="L12" i="4" s="1"/>
  <c r="J13" i="4"/>
  <c r="K13" i="4" s="1"/>
  <c r="L13" i="4" s="1"/>
  <c r="J14" i="4"/>
  <c r="K14" i="4" s="1"/>
  <c r="L14" i="4" s="1"/>
  <c r="J15" i="4"/>
  <c r="K15" i="4" s="1"/>
  <c r="L15" i="4" s="1"/>
  <c r="J16" i="4"/>
  <c r="K16" i="4" s="1"/>
  <c r="L16" i="4" s="1"/>
  <c r="J17" i="4"/>
  <c r="K17" i="4" s="1"/>
  <c r="L17" i="4" s="1"/>
  <c r="J18" i="4"/>
  <c r="K18" i="4" s="1"/>
  <c r="L18" i="4" s="1"/>
  <c r="J19" i="4"/>
  <c r="K19" i="4" s="1"/>
  <c r="L19" i="4" s="1"/>
  <c r="J20" i="4"/>
  <c r="K20" i="4" s="1"/>
  <c r="L20" i="4" s="1"/>
  <c r="J21" i="4"/>
  <c r="K21" i="4" s="1"/>
  <c r="L21" i="4" s="1"/>
  <c r="J22" i="4"/>
  <c r="K22" i="4" s="1"/>
  <c r="L22" i="4" s="1"/>
  <c r="J23" i="4"/>
  <c r="K23" i="4" s="1"/>
  <c r="L23" i="4" s="1"/>
  <c r="J24" i="4"/>
  <c r="K24" i="4" s="1"/>
  <c r="L24" i="4" s="1"/>
  <c r="J25" i="4"/>
  <c r="K25" i="4" s="1"/>
  <c r="L25" i="4" s="1"/>
  <c r="J26" i="4"/>
  <c r="K26" i="4" s="1"/>
  <c r="L26" i="4" s="1"/>
  <c r="J2" i="4"/>
  <c r="K2" i="4" s="1"/>
  <c r="L2" i="4" s="1"/>
  <c r="H2" i="4"/>
  <c r="I2" i="4" s="1"/>
  <c r="M2" i="4" s="1"/>
  <c r="H3" i="4"/>
  <c r="I3" i="4" s="1"/>
  <c r="M3" i="4" s="1"/>
  <c r="H4" i="4"/>
  <c r="I4" i="4" s="1"/>
  <c r="M4" i="4" s="1"/>
  <c r="H5" i="4"/>
  <c r="I5" i="4" s="1"/>
  <c r="M5" i="4" s="1"/>
  <c r="H6" i="4"/>
  <c r="I6" i="4" s="1"/>
  <c r="M6" i="4" s="1"/>
  <c r="H7" i="4"/>
  <c r="I7" i="4" s="1"/>
  <c r="M7" i="4" s="1"/>
  <c r="H8" i="4"/>
  <c r="I8" i="4" s="1"/>
  <c r="M8" i="4" s="1"/>
  <c r="H9" i="4"/>
  <c r="I9" i="4" s="1"/>
  <c r="M9" i="4" s="1"/>
  <c r="H10" i="4"/>
  <c r="I10" i="4" s="1"/>
  <c r="M10" i="4" s="1"/>
  <c r="H11" i="4"/>
  <c r="I11" i="4" s="1"/>
  <c r="M11" i="4" s="1"/>
  <c r="H12" i="4"/>
  <c r="I12" i="4" s="1"/>
  <c r="M12" i="4" s="1"/>
  <c r="H13" i="4"/>
  <c r="I13" i="4" s="1"/>
  <c r="M13" i="4" s="1"/>
  <c r="H14" i="4"/>
  <c r="I14" i="4" s="1"/>
  <c r="M14" i="4" s="1"/>
  <c r="H15" i="4"/>
  <c r="I15" i="4" s="1"/>
  <c r="M15" i="4" s="1"/>
  <c r="H16" i="4"/>
  <c r="I16" i="4" s="1"/>
  <c r="M16" i="4" s="1"/>
  <c r="H17" i="4"/>
  <c r="I17" i="4" s="1"/>
  <c r="M17" i="4" s="1"/>
  <c r="H18" i="4"/>
  <c r="I18" i="4" s="1"/>
  <c r="M18" i="4" s="1"/>
  <c r="H19" i="4"/>
  <c r="I19" i="4" s="1"/>
  <c r="M19" i="4" s="1"/>
  <c r="H20" i="4"/>
  <c r="I20" i="4" s="1"/>
  <c r="M20" i="4" s="1"/>
  <c r="H21" i="4"/>
  <c r="I21" i="4" s="1"/>
  <c r="M21" i="4" s="1"/>
  <c r="H22" i="4"/>
  <c r="I22" i="4" s="1"/>
  <c r="M22" i="4" s="1"/>
  <c r="H23" i="4"/>
  <c r="I23" i="4" s="1"/>
  <c r="M23" i="4" s="1"/>
  <c r="H24" i="4"/>
  <c r="I24" i="4" s="1"/>
  <c r="M24" i="4" s="1"/>
  <c r="H25" i="4"/>
  <c r="I25" i="4" s="1"/>
  <c r="H26" i="4"/>
  <c r="I26" i="4" s="1"/>
  <c r="M26" i="4" s="1"/>
</calcChain>
</file>

<file path=xl/sharedStrings.xml><?xml version="1.0" encoding="utf-8"?>
<sst xmlns="http://schemas.openxmlformats.org/spreadsheetml/2006/main" count="266" uniqueCount="98">
  <si>
    <t>Reference</t>
  </si>
  <si>
    <t>Name</t>
  </si>
  <si>
    <t>Fuel Bias</t>
  </si>
  <si>
    <t>CMA-FORM-FOE-10</t>
  </si>
  <si>
    <t>Revision</t>
  </si>
  <si>
    <t>Date of revision</t>
  </si>
  <si>
    <t>Approval record</t>
  </si>
  <si>
    <t>Role</t>
  </si>
  <si>
    <t>Position</t>
  </si>
  <si>
    <t>Date</t>
  </si>
  <si>
    <t>Editor</t>
  </si>
  <si>
    <t>Oleksandr PRYGARA</t>
  </si>
  <si>
    <t>Flight OPS Engineering Manager</t>
  </si>
  <si>
    <t>Approver 1</t>
  </si>
  <si>
    <t>Approver 2</t>
  </si>
  <si>
    <t>-</t>
  </si>
  <si>
    <t>AIRAC cycle</t>
  </si>
  <si>
    <t>%THRST REQD</t>
  </si>
  <si>
    <t>%FUEL FLOW</t>
  </si>
  <si>
    <t>Fuel Flow factor = -(%FM)</t>
  </si>
  <si>
    <t>Update ?</t>
  </si>
  <si>
    <t>Remarks</t>
  </si>
  <si>
    <t>Date of Event</t>
  </si>
  <si>
    <t>Position Y</t>
  </si>
  <si>
    <t>Event</t>
  </si>
  <si>
    <t>Date of Actual value</t>
  </si>
  <si>
    <t>Position/Value</t>
  </si>
  <si>
    <t>Actual value</t>
  </si>
  <si>
    <t>YES</t>
  </si>
  <si>
    <t>Manual input</t>
  </si>
  <si>
    <t>LH engine wash</t>
  </si>
  <si>
    <t>NO</t>
  </si>
  <si>
    <t>RH engine wash</t>
  </si>
  <si>
    <t>Dual engine wash</t>
  </si>
  <si>
    <t>RH engine  + Airframe wash</t>
  </si>
  <si>
    <t>New line maintenance provider</t>
  </si>
  <si>
    <t>Previous value incorrect: 1.5%. Correct value updated in the table</t>
  </si>
  <si>
    <t>Update done (2.5-1.5&gt;0.3) since 2502 value was incorrect. Correction taken into account in the "Update ?" column computation</t>
  </si>
  <si>
    <t>Fuel Flow Factor = -(%FM)</t>
  </si>
  <si>
    <t>A-check</t>
  </si>
  <si>
    <t>LH engine  + Airframe wash</t>
  </si>
  <si>
    <t>airframe wash</t>
  </si>
  <si>
    <t>Has been changed this airac cycle, taken into account in the computaion of the "Update ?" column</t>
  </si>
  <si>
    <t>Previous value here was erroneous, taken into account in the "Update ?" column computation</t>
  </si>
  <si>
    <t>Taken into account in the "Update ?" column computation</t>
  </si>
  <si>
    <t>Engine wash</t>
  </si>
  <si>
    <t>Airac Cycle</t>
  </si>
  <si>
    <t>DSR 18590</t>
  </si>
  <si>
    <t xml:space="preserve">DSR 18400 </t>
  </si>
  <si>
    <t>SD 18400</t>
  </si>
  <si>
    <t>NR</t>
  </si>
  <si>
    <t>Monitored Perf Factor 18590</t>
  </si>
  <si>
    <t>Monitored Perf Factor 18590 Rounded</t>
  </si>
  <si>
    <t>Monitored Perf Factor 18400</t>
  </si>
  <si>
    <t>Monitored Perf Factor 18400 Rounded</t>
  </si>
  <si>
    <t>FMS Perf Factor</t>
  </si>
  <si>
    <t>OFP Perf Factor</t>
  </si>
  <si>
    <t>RH engine installed</t>
  </si>
  <si>
    <t>LH engine installed</t>
  </si>
  <si>
    <t>Dual engine + Airframe wash</t>
  </si>
  <si>
    <t>RH engine removed</t>
  </si>
  <si>
    <t>RH engine swap</t>
  </si>
  <si>
    <t>FHRMI was AOG during the whole airac cycle, we keep the values of 2501</t>
  </si>
  <si>
    <t>0.932</t>
  </si>
  <si>
    <t>Basic Perf Factor</t>
  </si>
  <si>
    <t>F-HMRI</t>
  </si>
  <si>
    <t>Aircraft</t>
  </si>
  <si>
    <t>Engine</t>
  </si>
  <si>
    <t>Engine wash cycles (in FC - Flight Cycles)</t>
  </si>
  <si>
    <t>SN</t>
  </si>
  <si>
    <t>Days installed</t>
  </si>
  <si>
    <t>Years installed2</t>
  </si>
  <si>
    <t>Flight hours</t>
  </si>
  <si>
    <t>Landings</t>
  </si>
  <si>
    <t>FHMRB</t>
  </si>
  <si>
    <t>GE90-110B1 engines</t>
  </si>
  <si>
    <t>Every 500FC</t>
  </si>
  <si>
    <t>LH engine</t>
  </si>
  <si>
    <t>14618:41</t>
  </si>
  <si>
    <t>RH engine</t>
  </si>
  <si>
    <t>FHMRF</t>
  </si>
  <si>
    <t>14118:37</t>
  </si>
  <si>
    <t>FHMRI</t>
  </si>
  <si>
    <t>RB211-TRENT-772B-60/16 engines</t>
  </si>
  <si>
    <t>Every 300FC</t>
  </si>
  <si>
    <t>LH engine - since fit</t>
  </si>
  <si>
    <t>LH engine - since new</t>
  </si>
  <si>
    <t>36592:07</t>
  </si>
  <si>
    <t>RH engine - since fit</t>
  </si>
  <si>
    <t>RH engine - since new</t>
  </si>
  <si>
    <t>37931:34</t>
  </si>
  <si>
    <t>engine wash</t>
  </si>
  <si>
    <t>2507, actual value</t>
  </si>
  <si>
    <t>Reception avion : cost index set à 2</t>
  </si>
  <si>
    <t>Set à 2 en attendant d'avoir suffisemment de records</t>
  </si>
  <si>
    <t>SD 18590</t>
  </si>
  <si>
    <t>Mois prochain aura 5 mois de records, on pourra faire le calcul et le changement</t>
  </si>
  <si>
    <t>2512, actual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</si>
</sst>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[$-409]d\-mmm\-yyyy;@"/>
    <numFmt numFmtId="167" formatCode="dd/mm/yy"/>
    <numFmt numFmtId="168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1" fontId="0" fillId="0" borderId="0" xfId="1" applyNumberFormat="1" applyFont="1" applyFill="1" applyBorder="1" applyAlignment="1">
      <alignment horizontal="center" vertical="center" wrapText="1"/>
    </xf>
    <xf numFmtId="14" fontId="0" fillId="0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Fill="1" applyAlignment="1">
      <alignment horizontal="center" vertical="center" wrapText="1"/>
    </xf>
    <xf numFmtId="1" fontId="0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4" fontId="3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0" fontId="0" fillId="0" borderId="2" xfId="0" applyBorder="1"/>
    <xf numFmtId="0" fontId="2" fillId="4" borderId="2" xfId="0" applyFont="1" applyFill="1" applyBorder="1"/>
    <xf numFmtId="14" fontId="0" fillId="0" borderId="3" xfId="0" applyNumberFormat="1" applyBorder="1" applyAlignment="1">
      <alignment horizontal="left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5" borderId="2" xfId="0" applyFill="1" applyBorder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left" vertical="top" wrapText="1"/>
    </xf>
    <xf numFmtId="166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6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  <xf numFmtId="0" fontId="0" fillId="0" borderId="0" xfId="0" applyAlignment="1">
      <alignment horizontal="right"/>
    </xf>
    <xf numFmtId="165" fontId="6" fillId="0" borderId="0" xfId="0" applyNumberFormat="1" applyFont="1"/>
    <xf numFmtId="167" fontId="0" fillId="0" borderId="0" xfId="0" applyNumberForma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6" fontId="5" fillId="6" borderId="4" xfId="0" applyNumberFormat="1" applyFont="1" applyFill="1" applyBorder="1" applyAlignment="1">
      <alignment horizontal="center" vertical="center" wrapText="1"/>
    </xf>
    <xf numFmtId="10" fontId="5" fillId="6" borderId="5" xfId="0" applyNumberFormat="1" applyFont="1" applyFill="1" applyBorder="1" applyAlignment="1">
      <alignment horizontal="center" vertical="center" wrapText="1"/>
    </xf>
    <xf numFmtId="1" fontId="6" fillId="6" borderId="6" xfId="0" applyNumberFormat="1" applyFont="1" applyFill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96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/>
      </font>
      <fill>
        <patternFill>
          <bgColor theme="7" tint="0.39994506668294322"/>
        </patternFill>
      </fill>
    </dxf>
    <dxf>
      <numFmt numFmtId="165" formatCode="0.0"/>
    </dxf>
    <dxf>
      <alignment horizontal="center" textRotation="0" indent="0" justifyLastLine="0" shrinkToFit="0" readingOrder="0"/>
    </dxf>
    <dxf>
      <numFmt numFmtId="165" formatCode="0.0"/>
      <alignment horizontal="center" textRotation="0" indent="0" justifyLastLine="0" shrinkToFit="0" readingOrder="0"/>
    </dxf>
    <dxf>
      <numFmt numFmtId="167" formatCode="dd/mm/yy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dd/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dd/mm/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67" formatCode="dd/mm/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d/mm/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67" formatCode="dd/mm/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7" formatCode="dd/mm/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67" formatCode="dd/mm/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[$-409]d\-m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dd/mm/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FHMRB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mpd="dbl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069F997-F0CE-470B-BE09-9843206CB1A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BD2-4152-BF06-3F069BA9562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40A007-2D6F-45A5-83E1-170ABA8EBD4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BD2-4152-BF06-3F069BA9562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E0C917-7C57-45CD-A959-41F4AD84429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7A1-4A2C-8E0A-DEEEE3A688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A9F9176-D86F-405F-9F17-467AE71BFC7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7A1-4A2C-8E0A-DEEEE3A688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05C09E-279F-4CCB-859C-AEEAC131C9C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7A1-4A2C-8E0A-DEEEE3A688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2F217EA-E02A-4DC4-9B39-95CB677CF9D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7A1-4A2C-8E0A-DEEEE3A688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7C2D21D-3A9A-4A59-8485-EB4CC0BFD55B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7A1-4A2C-8E0A-DEEEE3A688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0C23580-4280-45F1-A954-9547780ED80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C72-476E-8492-80AB42B64B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200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FHMRB!$I$2:$I$9</c:f>
              <c:numCache>
                <c:formatCode>[$-409]d\-mmm\-yyyy;@</c:formatCode>
                <c:ptCount val="8"/>
                <c:pt idx="0">
                  <c:v>45211</c:v>
                </c:pt>
                <c:pt idx="1">
                  <c:v>45259</c:v>
                </c:pt>
                <c:pt idx="2">
                  <c:v>45324</c:v>
                </c:pt>
                <c:pt idx="3">
                  <c:v>45394</c:v>
                </c:pt>
                <c:pt idx="4">
                  <c:v>45413</c:v>
                </c:pt>
                <c:pt idx="5">
                  <c:v>45450</c:v>
                </c:pt>
                <c:pt idx="6">
                  <c:v>45664</c:v>
                </c:pt>
                <c:pt idx="7">
                  <c:v>45706</c:v>
                </c:pt>
              </c:numCache>
            </c:numRef>
          </c:xVal>
          <c:yVal>
            <c:numRef>
              <c:f>FHMRB!$J$2:$J$9</c:f>
              <c:numCache>
                <c:formatCode>0.00%</c:formatCode>
                <c:ptCount val="8"/>
                <c:pt idx="0">
                  <c:v>0.06</c:v>
                </c:pt>
                <c:pt idx="1">
                  <c:v>0.05</c:v>
                </c:pt>
                <c:pt idx="2">
                  <c:v>0.04</c:v>
                </c:pt>
                <c:pt idx="3">
                  <c:v>0.05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FHMRB!$K$2:$K$9</c15:f>
                <c15:dlblRangeCache>
                  <c:ptCount val="8"/>
                  <c:pt idx="0">
                    <c:v>LH engine wash</c:v>
                  </c:pt>
                  <c:pt idx="1">
                    <c:v>RH engine wash</c:v>
                  </c:pt>
                  <c:pt idx="2">
                    <c:v>Dual engine wash</c:v>
                  </c:pt>
                  <c:pt idx="3">
                    <c:v>RH engine  + Airframe wash</c:v>
                  </c:pt>
                  <c:pt idx="4">
                    <c:v>New line maintenance provider</c:v>
                  </c:pt>
                  <c:pt idx="5">
                    <c:v>LH engine wash</c:v>
                  </c:pt>
                  <c:pt idx="6">
                    <c:v>RH engine wash</c:v>
                  </c:pt>
                  <c:pt idx="7">
                    <c:v>LH engine wash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BD2-4152-BF06-3F069BA95621}"/>
            </c:ext>
          </c:extLst>
        </c:ser>
        <c:ser>
          <c:idx val="1"/>
          <c:order val="1"/>
          <c:tx>
            <c:strRef>
              <c:f>FHMRB!$C$1</c:f>
              <c:strCache>
                <c:ptCount val="1"/>
                <c:pt idx="0">
                  <c:v>%THRST REQD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9C-4F4A-8689-0F6BE119D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FHMRB!$B$2:$B$23</c:f>
              <c:numCache>
                <c:formatCode>m/d/yyyy</c:formatCode>
                <c:ptCount val="22"/>
                <c:pt idx="0">
                  <c:v>45176</c:v>
                </c:pt>
                <c:pt idx="1">
                  <c:v>45204</c:v>
                </c:pt>
                <c:pt idx="2">
                  <c:v>45232</c:v>
                </c:pt>
                <c:pt idx="3">
                  <c:v>45260</c:v>
                </c:pt>
                <c:pt idx="4">
                  <c:v>45512</c:v>
                </c:pt>
                <c:pt idx="5">
                  <c:v>45540</c:v>
                </c:pt>
                <c:pt idx="6">
                  <c:v>45568</c:v>
                </c:pt>
                <c:pt idx="7">
                  <c:v>45596</c:v>
                </c:pt>
                <c:pt idx="8">
                  <c:v>45624</c:v>
                </c:pt>
                <c:pt idx="9">
                  <c:v>45652</c:v>
                </c:pt>
                <c:pt idx="10">
                  <c:v>45680</c:v>
                </c:pt>
                <c:pt idx="11">
                  <c:v>45708</c:v>
                </c:pt>
                <c:pt idx="12">
                  <c:v>45736</c:v>
                </c:pt>
                <c:pt idx="13" formatCode="dd/mm/yy">
                  <c:v>45764</c:v>
                </c:pt>
                <c:pt idx="14" formatCode="dd/mm/yy">
                  <c:v>45792</c:v>
                </c:pt>
                <c:pt idx="15" formatCode="dd/mm/yy">
                  <c:v>45820</c:v>
                </c:pt>
                <c:pt idx="16" formatCode="dd/mm/yy">
                  <c:v>45848</c:v>
                </c:pt>
                <c:pt idx="17" formatCode="dd/mm/yy">
                  <c:v>45876</c:v>
                </c:pt>
                <c:pt idx="18" formatCode="dd/mm/yy">
                  <c:v>45904</c:v>
                </c:pt>
                <c:pt idx="19" formatCode="dd/mm/yy">
                  <c:v>45932</c:v>
                </c:pt>
                <c:pt idx="20" formatCode="dd/mm/yy">
                  <c:v>45960</c:v>
                </c:pt>
                <c:pt idx="21" formatCode="dd/mm/yy">
                  <c:v>45988</c:v>
                </c:pt>
              </c:numCache>
            </c:numRef>
          </c:xVal>
          <c:yVal>
            <c:numRef>
              <c:f>FHMRB!$C$2:$C$23</c:f>
              <c:numCache>
                <c:formatCode>0.0%</c:formatCode>
                <c:ptCount val="22"/>
                <c:pt idx="0">
                  <c:v>-1.7000000000000001E-2</c:v>
                </c:pt>
                <c:pt idx="1">
                  <c:v>-1.7999999999999999E-2</c:v>
                </c:pt>
                <c:pt idx="2">
                  <c:v>-1.7999999999999999E-2</c:v>
                </c:pt>
                <c:pt idx="3">
                  <c:v>-1.7000000000000001E-2</c:v>
                </c:pt>
                <c:pt idx="4">
                  <c:v>-1.9E-2</c:v>
                </c:pt>
                <c:pt idx="5">
                  <c:v>-1.7999999999999999E-2</c:v>
                </c:pt>
                <c:pt idx="6">
                  <c:v>-1.7999999999999999E-2</c:v>
                </c:pt>
                <c:pt idx="7">
                  <c:v>-1.9E-2</c:v>
                </c:pt>
                <c:pt idx="8">
                  <c:v>-1.9E-2</c:v>
                </c:pt>
                <c:pt idx="9">
                  <c:v>-1.7999999999999999E-2</c:v>
                </c:pt>
                <c:pt idx="10">
                  <c:v>-1.7000000000000001E-2</c:v>
                </c:pt>
                <c:pt idx="11">
                  <c:v>-1.6E-2</c:v>
                </c:pt>
                <c:pt idx="12">
                  <c:v>-1.4999999999999999E-2</c:v>
                </c:pt>
                <c:pt idx="13">
                  <c:v>-1.4999999999999999E-2</c:v>
                </c:pt>
                <c:pt idx="14">
                  <c:v>-1.4E-2</c:v>
                </c:pt>
                <c:pt idx="15">
                  <c:v>-1.4E-2</c:v>
                </c:pt>
                <c:pt idx="16">
                  <c:v>-1.4E-2</c:v>
                </c:pt>
                <c:pt idx="17">
                  <c:v>-1.4E-2</c:v>
                </c:pt>
                <c:pt idx="18">
                  <c:v>-1.4E-2</c:v>
                </c:pt>
                <c:pt idx="19">
                  <c:v>-1.4999999999999999E-2</c:v>
                </c:pt>
                <c:pt idx="20">
                  <c:v>-1.4999999999999999E-2</c:v>
                </c:pt>
                <c:pt idx="21">
                  <c:v>-1.7000000000000001E-2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D2-4152-BF06-3F069BA95621}"/>
            </c:ext>
          </c:extLst>
        </c:ser>
        <c:ser>
          <c:idx val="2"/>
          <c:order val="2"/>
          <c:tx>
            <c:strRef>
              <c:f>FHMRB!$D$1</c:f>
              <c:strCache>
                <c:ptCount val="1"/>
                <c:pt idx="0">
                  <c:v>%FUEL FLOW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FHMRB!$B$2:$B$23</c:f>
              <c:numCache>
                <c:formatCode>m/d/yyyy</c:formatCode>
                <c:ptCount val="22"/>
                <c:pt idx="0">
                  <c:v>45176</c:v>
                </c:pt>
                <c:pt idx="1">
                  <c:v>45204</c:v>
                </c:pt>
                <c:pt idx="2">
                  <c:v>45232</c:v>
                </c:pt>
                <c:pt idx="3">
                  <c:v>45260</c:v>
                </c:pt>
                <c:pt idx="4">
                  <c:v>45512</c:v>
                </c:pt>
                <c:pt idx="5">
                  <c:v>45540</c:v>
                </c:pt>
                <c:pt idx="6">
                  <c:v>45568</c:v>
                </c:pt>
                <c:pt idx="7">
                  <c:v>45596</c:v>
                </c:pt>
                <c:pt idx="8">
                  <c:v>45624</c:v>
                </c:pt>
                <c:pt idx="9">
                  <c:v>45652</c:v>
                </c:pt>
                <c:pt idx="10">
                  <c:v>45680</c:v>
                </c:pt>
                <c:pt idx="11">
                  <c:v>45708</c:v>
                </c:pt>
                <c:pt idx="12">
                  <c:v>45736</c:v>
                </c:pt>
                <c:pt idx="13" formatCode="dd/mm/yy">
                  <c:v>45764</c:v>
                </c:pt>
                <c:pt idx="14" formatCode="dd/mm/yy">
                  <c:v>45792</c:v>
                </c:pt>
                <c:pt idx="15" formatCode="dd/mm/yy">
                  <c:v>45820</c:v>
                </c:pt>
                <c:pt idx="16" formatCode="dd/mm/yy">
                  <c:v>45848</c:v>
                </c:pt>
                <c:pt idx="17" formatCode="dd/mm/yy">
                  <c:v>45876</c:v>
                </c:pt>
                <c:pt idx="18" formatCode="dd/mm/yy">
                  <c:v>45904</c:v>
                </c:pt>
                <c:pt idx="19" formatCode="dd/mm/yy">
                  <c:v>45932</c:v>
                </c:pt>
                <c:pt idx="20" formatCode="dd/mm/yy">
                  <c:v>45960</c:v>
                </c:pt>
                <c:pt idx="21" formatCode="dd/mm/yy">
                  <c:v>45988</c:v>
                </c:pt>
              </c:numCache>
            </c:numRef>
          </c:xVal>
          <c:yVal>
            <c:numRef>
              <c:f>FHMRB!$D$2:$D$23</c:f>
              <c:numCache>
                <c:formatCode>0.0%</c:formatCode>
                <c:ptCount val="22"/>
                <c:pt idx="0">
                  <c:v>0.03</c:v>
                </c:pt>
                <c:pt idx="1">
                  <c:v>0.03</c:v>
                </c:pt>
                <c:pt idx="2">
                  <c:v>3.1E-2</c:v>
                </c:pt>
                <c:pt idx="3">
                  <c:v>3.2000000000000001E-2</c:v>
                </c:pt>
                <c:pt idx="4">
                  <c:v>3.2000000000000001E-2</c:v>
                </c:pt>
                <c:pt idx="5">
                  <c:v>3.2000000000000001E-2</c:v>
                </c:pt>
                <c:pt idx="6">
                  <c:v>3.2000000000000001E-2</c:v>
                </c:pt>
                <c:pt idx="7">
                  <c:v>3.3000000000000002E-2</c:v>
                </c:pt>
                <c:pt idx="8">
                  <c:v>3.3000000000000002E-2</c:v>
                </c:pt>
                <c:pt idx="9">
                  <c:v>3.5000000000000003E-2</c:v>
                </c:pt>
                <c:pt idx="10">
                  <c:v>3.6999999999999998E-2</c:v>
                </c:pt>
                <c:pt idx="11">
                  <c:v>4.2000000000000003E-2</c:v>
                </c:pt>
                <c:pt idx="12">
                  <c:v>4.2000000000000003E-2</c:v>
                </c:pt>
                <c:pt idx="13">
                  <c:v>4.1000000000000002E-2</c:v>
                </c:pt>
                <c:pt idx="14">
                  <c:v>3.7999999999999999E-2</c:v>
                </c:pt>
                <c:pt idx="15">
                  <c:v>3.7999999999999999E-2</c:v>
                </c:pt>
                <c:pt idx="16">
                  <c:v>3.7999999999999999E-2</c:v>
                </c:pt>
                <c:pt idx="17">
                  <c:v>3.7999999999999999E-2</c:v>
                </c:pt>
                <c:pt idx="18">
                  <c:v>3.7999999999999999E-2</c:v>
                </c:pt>
                <c:pt idx="19">
                  <c:v>3.9E-2</c:v>
                </c:pt>
                <c:pt idx="20">
                  <c:v>0.04</c:v>
                </c:pt>
                <c:pt idx="21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D2-4152-BF06-3F069BA95621}"/>
            </c:ext>
          </c:extLst>
        </c:ser>
        <c:ser>
          <c:idx val="3"/>
          <c:order val="3"/>
          <c:tx>
            <c:strRef>
              <c:f>FHMRB!$E$1</c:f>
              <c:strCache>
                <c:ptCount val="1"/>
                <c:pt idx="0">
                  <c:v>Fuel Flow factor = -(%FM)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3C5C211-DACD-4754-ADF5-A78FF124EDA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6014019B-88B7-4D53-8DAB-A368E11EDF1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7A1-4A2C-8E0A-DEEEE3A688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4EA2AF-E3AB-4387-AAF1-E5747A4025F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37D29B2-D8A0-4293-8BE3-E04FEC8E9B04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7A1-4A2C-8E0A-DEEEE3A688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7F7A38-2CAB-4D5B-B1E2-EB2A5C02EF4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4CBE522-1687-4856-90FD-7E2894B5503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7A1-4A2C-8E0A-DEEEE3A688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D72255-B7C8-47BD-B479-B5A9C851DE12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36475F62-F769-4CF8-8F90-F6729EA12DB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7A1-4A2C-8E0A-DEEEE3A688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D955A22-B2A9-4683-8FB7-9E8CC9B57CB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7EDF59E-8565-4F86-BE3E-09A208D8756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7A1-4A2C-8E0A-DEEEE3A688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19BC47-2284-4192-BBEB-55D27F3A1E6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B1B51C3-5DE3-4C8A-9CA2-C1B19359A7C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7A1-4A2C-8E0A-DEEEE3A688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FCD9B5-7466-458A-8427-A15854CBBF6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97C9FE1-4F67-4D31-9071-E1384529663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7A1-4A2C-8E0A-DEEEE3A688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C6E689-D960-43C8-8816-7C7A90BEFF1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738C44B-08D0-437D-962D-AB5AACA347C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7A1-4A2C-8E0A-DEEEE3A688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AC4B812-2F99-4201-A752-74127D3C8AD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0584811-877A-4198-894F-92032406718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7A1-4A2C-8E0A-DEEEE3A688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2BA446-A5ED-41E4-8FA5-AB6AB412719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91026F6-11A8-423E-8557-694EB1A3C70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97A1-4A2C-8E0A-DEEEE3A688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B3E3B2-A4E1-4A99-B7FF-32A8BE7D400D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5B91336-0016-4757-8A23-2BA3815D9B74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97A1-4A2C-8E0A-DEEEE3A688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C1B938-F376-44F7-B127-AD71CC9FEBB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29F3BA11-11E7-49D4-89A4-40FD2CC0165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97A1-4A2C-8E0A-DEEEE3A688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94B0BB-2C48-4A6D-A23F-9FC0F185BAF1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85FB48B8-CCBA-4E9D-9436-55308DB7CC60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6A4-4338-BEF9-CD5F3235B31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5EB7411-A49E-4669-AF59-BBEA3DE4F398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CE2C34C7-B4E1-4505-8C59-1B9B48E9525B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6A4-4338-BEF9-CD5F3235B31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048B79B-EFA3-4B33-B4A1-2294722BE167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5603992E-617D-4956-BE33-9A393C8ABC53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6A4-4338-BEF9-CD5F3235B31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58AEE51-E8C7-495B-A3D8-9F0519F30856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D1223DBC-E6ED-4320-9681-644FEE1753AE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6A4-4338-BEF9-CD5F3235B31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AAA5586-BC65-4DD3-8326-597250345512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542ADED7-0FF6-43B3-8613-A8C040C425CB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6A4-4338-BEF9-CD5F3235B31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B528A56-E54B-4A72-8AD8-A53DA02C4A94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B4E423F-4848-4BA6-A03F-3AADD0489ADA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243-47B0-89BD-B8614BDA693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0407925-A971-4DCE-98F5-29562A0437E6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B3777860-E8A6-4C84-8174-44F310F39DED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362-4F91-B6D1-D4273FD734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B49ACC4-8D8E-41AC-8A11-8396C78FFC37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A398E13-4F11-4657-B69C-DC391FB094C6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491-43BB-BBEE-60425DA8B9E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8F1CBBA-CF19-482E-ABE4-5EB72FE6F2B2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82904333-E00F-498A-8BFA-0088BD9FF810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312-4D6C-89A4-3B1E2C463D1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02F22A4-BAB7-4BFC-A893-16148545FC0B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6943F82-3D81-4D74-8D73-D876FDD12181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DA6-4CC8-BE9C-356ACF64D8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FHMRB!$B$2:$B$23</c:f>
              <c:numCache>
                <c:formatCode>m/d/yyyy</c:formatCode>
                <c:ptCount val="22"/>
                <c:pt idx="0">
                  <c:v>45176</c:v>
                </c:pt>
                <c:pt idx="1">
                  <c:v>45204</c:v>
                </c:pt>
                <c:pt idx="2">
                  <c:v>45232</c:v>
                </c:pt>
                <c:pt idx="3">
                  <c:v>45260</c:v>
                </c:pt>
                <c:pt idx="4">
                  <c:v>45512</c:v>
                </c:pt>
                <c:pt idx="5">
                  <c:v>45540</c:v>
                </c:pt>
                <c:pt idx="6">
                  <c:v>45568</c:v>
                </c:pt>
                <c:pt idx="7">
                  <c:v>45596</c:v>
                </c:pt>
                <c:pt idx="8">
                  <c:v>45624</c:v>
                </c:pt>
                <c:pt idx="9">
                  <c:v>45652</c:v>
                </c:pt>
                <c:pt idx="10">
                  <c:v>45680</c:v>
                </c:pt>
                <c:pt idx="11">
                  <c:v>45708</c:v>
                </c:pt>
                <c:pt idx="12">
                  <c:v>45736</c:v>
                </c:pt>
                <c:pt idx="13" formatCode="dd/mm/yy">
                  <c:v>45764</c:v>
                </c:pt>
                <c:pt idx="14" formatCode="dd/mm/yy">
                  <c:v>45792</c:v>
                </c:pt>
                <c:pt idx="15" formatCode="dd/mm/yy">
                  <c:v>45820</c:v>
                </c:pt>
                <c:pt idx="16" formatCode="dd/mm/yy">
                  <c:v>45848</c:v>
                </c:pt>
                <c:pt idx="17" formatCode="dd/mm/yy">
                  <c:v>45876</c:v>
                </c:pt>
                <c:pt idx="18" formatCode="dd/mm/yy">
                  <c:v>45904</c:v>
                </c:pt>
                <c:pt idx="19" formatCode="dd/mm/yy">
                  <c:v>45932</c:v>
                </c:pt>
                <c:pt idx="20" formatCode="dd/mm/yy">
                  <c:v>45960</c:v>
                </c:pt>
                <c:pt idx="21" formatCode="dd/mm/yy">
                  <c:v>45988</c:v>
                </c:pt>
              </c:numCache>
            </c:numRef>
          </c:xVal>
          <c:yVal>
            <c:numRef>
              <c:f>FHMRB!$E$2:$E$23</c:f>
              <c:numCache>
                <c:formatCode>0.0%</c:formatCode>
                <c:ptCount val="22"/>
                <c:pt idx="0">
                  <c:v>1.4999999999999999E-2</c:v>
                </c:pt>
                <c:pt idx="1">
                  <c:v>1.4999999999999999E-2</c:v>
                </c:pt>
                <c:pt idx="2">
                  <c:v>1.6E-2</c:v>
                </c:pt>
                <c:pt idx="3">
                  <c:v>1.6E-2</c:v>
                </c:pt>
                <c:pt idx="4">
                  <c:v>1.6E-2</c:v>
                </c:pt>
                <c:pt idx="5">
                  <c:v>1.6E-2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1.7000000000000001E-2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2.4E-2</c:v>
                </c:pt>
                <c:pt idx="12">
                  <c:v>2.5000000000000001E-2</c:v>
                </c:pt>
                <c:pt idx="13">
                  <c:v>2.4E-2</c:v>
                </c:pt>
                <c:pt idx="14">
                  <c:v>2.1999999999999999E-2</c:v>
                </c:pt>
                <c:pt idx="15">
                  <c:v>2.1999999999999999E-2</c:v>
                </c:pt>
                <c:pt idx="16">
                  <c:v>2.1999999999999999E-2</c:v>
                </c:pt>
                <c:pt idx="17">
                  <c:v>2.1000000000000001E-2</c:v>
                </c:pt>
                <c:pt idx="18">
                  <c:v>2.1999999999999999E-2</c:v>
                </c:pt>
                <c:pt idx="19">
                  <c:v>2.1999999999999999E-2</c:v>
                </c:pt>
                <c:pt idx="20">
                  <c:v>2.3E-2</c:v>
                </c:pt>
                <c:pt idx="21">
                  <c:v>2.4E-2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FHMRB!$A$2:$A$23</c15:f>
                <c15:dlblRangeCache>
                  <c:ptCount val="22"/>
                  <c:pt idx="0">
                    <c:v>2309</c:v>
                  </c:pt>
                  <c:pt idx="1">
                    <c:v>2310</c:v>
                  </c:pt>
                  <c:pt idx="2">
                    <c:v>2311</c:v>
                  </c:pt>
                  <c:pt idx="3">
                    <c:v>2312</c:v>
                  </c:pt>
                  <c:pt idx="4">
                    <c:v>2408</c:v>
                  </c:pt>
                  <c:pt idx="5">
                    <c:v>2409</c:v>
                  </c:pt>
                  <c:pt idx="6">
                    <c:v>2410</c:v>
                  </c:pt>
                  <c:pt idx="7">
                    <c:v>2411</c:v>
                  </c:pt>
                  <c:pt idx="8">
                    <c:v>2412</c:v>
                  </c:pt>
                  <c:pt idx="9">
                    <c:v>2413</c:v>
                  </c:pt>
                  <c:pt idx="10">
                    <c:v>2501</c:v>
                  </c:pt>
                  <c:pt idx="11">
                    <c:v>2502</c:v>
                  </c:pt>
                  <c:pt idx="12">
                    <c:v>2503</c:v>
                  </c:pt>
                  <c:pt idx="13">
                    <c:v>2504</c:v>
                  </c:pt>
                  <c:pt idx="14">
                    <c:v>2505</c:v>
                  </c:pt>
                  <c:pt idx="15">
                    <c:v>2506</c:v>
                  </c:pt>
                  <c:pt idx="16">
                    <c:v>2507</c:v>
                  </c:pt>
                  <c:pt idx="17">
                    <c:v>2508</c:v>
                  </c:pt>
                  <c:pt idx="18">
                    <c:v>2509</c:v>
                  </c:pt>
                  <c:pt idx="19">
                    <c:v>2510</c:v>
                  </c:pt>
                  <c:pt idx="20">
                    <c:v>2511</c:v>
                  </c:pt>
                  <c:pt idx="21">
                    <c:v>2512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DBD2-4152-BF06-3F069BA95621}"/>
            </c:ext>
          </c:extLst>
        </c:ser>
        <c:ser>
          <c:idx val="4"/>
          <c:order val="4"/>
          <c:tx>
            <c:strRef>
              <c:f>FHMRB!$O$1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49B3B22-E254-4E71-9FC0-D8F4A391C81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0C3-4564-8E26-8DBF64A0F8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FHMRB!$M$2</c:f>
              <c:numCache>
                <c:formatCode>m/d/yyyy</c:formatCode>
                <c:ptCount val="1"/>
                <c:pt idx="0">
                  <c:v>45988</c:v>
                </c:pt>
              </c:numCache>
            </c:numRef>
          </c:xVal>
          <c:yVal>
            <c:numRef>
              <c:f>FHMRB!$N$2</c:f>
              <c:numCache>
                <c:formatCode>0.00%</c:formatCode>
                <c:ptCount val="1"/>
                <c:pt idx="0">
                  <c:v>2.4E-2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FHMRB!$O$2</c15:f>
                <c15:dlblRangeCache>
                  <c:ptCount val="1"/>
                  <c:pt idx="0">
                    <c:v>2512, actual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0C3-4564-8E26-8DBF64A0F89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95162623"/>
        <c:axId val="295164543"/>
      </c:scatterChart>
      <c:valAx>
        <c:axId val="295162623"/>
        <c:scaling>
          <c:orientation val="minMax"/>
        </c:scaling>
        <c:delete val="0"/>
        <c:axPos val="b"/>
        <c:numFmt formatCode="dd/mm/yyyy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4543"/>
        <c:crosses val="autoZero"/>
        <c:crossBetween val="midCat"/>
      </c:valAx>
      <c:valAx>
        <c:axId val="2951645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FHMRF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mpd="dbl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001E378-2762-4E2E-9FAA-81B08F2944A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87A-4D14-9125-D6CC0DA867D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B76F92-E932-4BE2-A746-740AE8C5D4E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87A-4D14-9125-D6CC0DA867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2EB8C3-C3F7-4629-B0E6-2CCB492A2D6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87A-4D14-9125-D6CC0DA867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7C4FE5E-B584-422C-BC54-BFDBB972A578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87A-4D14-9125-D6CC0DA867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0317C9-941D-46C6-ABDB-0E8A590071E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87A-4D14-9125-D6CC0DA867D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0721B76-E067-433B-91EC-71CEECFF8B3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87A-4D14-9125-D6CC0DA867D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49A5CA9-65E7-47CB-9B0E-3B9B03DED2B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87A-4D14-9125-D6CC0DA867D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D3E3A33-D91B-4525-832A-9D688113265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87A-4D14-9125-D6CC0DA867D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637B64-0840-45AE-9252-2EE198F5722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87A-4D14-9125-D6CC0DA867D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E26F05A-940D-4EA6-83CF-24B5729033D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03-4F66-8B97-0B7C564DFED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4079C7-FE59-4789-8B63-3C8C2BF85A37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903-4F66-8B97-0B7C564DFED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BBB233-8F80-4382-B325-2AE846571C2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C84-44D8-AC3C-6190DDEAED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5CEEE70-580F-4128-A25B-B47E0BB49E8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84-44D8-AC3C-6190DDEAED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5E9B0F-D8A3-4928-9B3A-B2A9DBBCC91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5D8-460B-9352-697DCC12658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D45C933-729A-48DE-9176-EEB17678788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C9E-453D-AA16-14536A6CB4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150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FHMRF!$I$2:$I$16</c:f>
              <c:numCache>
                <c:formatCode>[$-409]d\-mmm\-yyyy;@</c:formatCode>
                <c:ptCount val="15"/>
                <c:pt idx="0">
                  <c:v>44972</c:v>
                </c:pt>
                <c:pt idx="1">
                  <c:v>45057</c:v>
                </c:pt>
                <c:pt idx="2">
                  <c:v>45177</c:v>
                </c:pt>
                <c:pt idx="3">
                  <c:v>45232</c:v>
                </c:pt>
                <c:pt idx="4">
                  <c:v>45296</c:v>
                </c:pt>
                <c:pt idx="5">
                  <c:v>45338</c:v>
                </c:pt>
                <c:pt idx="6">
                  <c:v>45401</c:v>
                </c:pt>
                <c:pt idx="7">
                  <c:v>45413</c:v>
                </c:pt>
                <c:pt idx="8">
                  <c:v>45457</c:v>
                </c:pt>
                <c:pt idx="9">
                  <c:v>45497</c:v>
                </c:pt>
                <c:pt idx="10">
                  <c:v>45511</c:v>
                </c:pt>
                <c:pt idx="11">
                  <c:v>45727</c:v>
                </c:pt>
                <c:pt idx="12">
                  <c:v>45741</c:v>
                </c:pt>
                <c:pt idx="13">
                  <c:v>45783</c:v>
                </c:pt>
                <c:pt idx="14">
                  <c:v>45979</c:v>
                </c:pt>
              </c:numCache>
            </c:numRef>
          </c:xVal>
          <c:yVal>
            <c:numRef>
              <c:f>FHMRF!$J$2:$J$16</c:f>
              <c:numCache>
                <c:formatCode>0.00%</c:formatCode>
                <c:ptCount val="15"/>
                <c:pt idx="0">
                  <c:v>0.06</c:v>
                </c:pt>
                <c:pt idx="1">
                  <c:v>0.05</c:v>
                </c:pt>
                <c:pt idx="2">
                  <c:v>0.06</c:v>
                </c:pt>
                <c:pt idx="3">
                  <c:v>0.05</c:v>
                </c:pt>
                <c:pt idx="4">
                  <c:v>0.06</c:v>
                </c:pt>
                <c:pt idx="5">
                  <c:v>0.05</c:v>
                </c:pt>
                <c:pt idx="6">
                  <c:v>0.06</c:v>
                </c:pt>
                <c:pt idx="7" formatCode="0%">
                  <c:v>7.0000000000000007E-2</c:v>
                </c:pt>
                <c:pt idx="8">
                  <c:v>0.05</c:v>
                </c:pt>
                <c:pt idx="9">
                  <c:v>5.5E-2</c:v>
                </c:pt>
                <c:pt idx="10">
                  <c:v>4.4999999999999998E-2</c:v>
                </c:pt>
                <c:pt idx="11">
                  <c:v>0.06</c:v>
                </c:pt>
                <c:pt idx="12">
                  <c:v>0.05</c:v>
                </c:pt>
                <c:pt idx="13">
                  <c:v>4.4999999999999998E-2</c:v>
                </c:pt>
                <c:pt idx="14">
                  <c:v>0.06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FHMRF!$K$2:$K$16</c15:f>
                <c15:dlblRangeCache>
                  <c:ptCount val="15"/>
                  <c:pt idx="0">
                    <c:v>RH engine wash</c:v>
                  </c:pt>
                  <c:pt idx="1">
                    <c:v>A-check</c:v>
                  </c:pt>
                  <c:pt idx="2">
                    <c:v>LH engine wash</c:v>
                  </c:pt>
                  <c:pt idx="3">
                    <c:v>RH engine wash</c:v>
                  </c:pt>
                  <c:pt idx="4">
                    <c:v>LH engine wash</c:v>
                  </c:pt>
                  <c:pt idx="5">
                    <c:v>RH engine wash</c:v>
                  </c:pt>
                  <c:pt idx="6">
                    <c:v>LH engine  + Airframe wash</c:v>
                  </c:pt>
                  <c:pt idx="7">
                    <c:v>New line maintenance provider</c:v>
                  </c:pt>
                  <c:pt idx="8">
                    <c:v>RH engine wash</c:v>
                  </c:pt>
                  <c:pt idx="9">
                    <c:v>LH engine wash</c:v>
                  </c:pt>
                  <c:pt idx="10">
                    <c:v>RH engine wash</c:v>
                  </c:pt>
                  <c:pt idx="11">
                    <c:v>LH engine wash</c:v>
                  </c:pt>
                  <c:pt idx="12">
                    <c:v>RH engine wash</c:v>
                  </c:pt>
                  <c:pt idx="13">
                    <c:v>airframe wash</c:v>
                  </c:pt>
                  <c:pt idx="14">
                    <c:v>LH engine wash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B87A-4D14-9125-D6CC0DA867D5}"/>
            </c:ext>
          </c:extLst>
        </c:ser>
        <c:ser>
          <c:idx val="1"/>
          <c:order val="1"/>
          <c:tx>
            <c:strRef>
              <c:f>FHMRF!$C$1</c:f>
              <c:strCache>
                <c:ptCount val="1"/>
                <c:pt idx="0">
                  <c:v>%THRST REQD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FHMRF!$B$2:$B$31</c:f>
              <c:numCache>
                <c:formatCode>m/d/yyyy</c:formatCode>
                <c:ptCount val="30"/>
                <c:pt idx="0">
                  <c:v>45148</c:v>
                </c:pt>
                <c:pt idx="1">
                  <c:v>45176</c:v>
                </c:pt>
                <c:pt idx="2">
                  <c:v>45204</c:v>
                </c:pt>
                <c:pt idx="3">
                  <c:v>45232</c:v>
                </c:pt>
                <c:pt idx="4">
                  <c:v>45260</c:v>
                </c:pt>
                <c:pt idx="5">
                  <c:v>45288</c:v>
                </c:pt>
                <c:pt idx="6">
                  <c:v>45316</c:v>
                </c:pt>
                <c:pt idx="7">
                  <c:v>45344</c:v>
                </c:pt>
                <c:pt idx="8">
                  <c:v>45372</c:v>
                </c:pt>
                <c:pt idx="9">
                  <c:v>45400</c:v>
                </c:pt>
                <c:pt idx="10">
                  <c:v>45428</c:v>
                </c:pt>
                <c:pt idx="11">
                  <c:v>45456</c:v>
                </c:pt>
                <c:pt idx="12">
                  <c:v>45512</c:v>
                </c:pt>
                <c:pt idx="13">
                  <c:v>45540</c:v>
                </c:pt>
                <c:pt idx="14">
                  <c:v>45568</c:v>
                </c:pt>
                <c:pt idx="15">
                  <c:v>45596</c:v>
                </c:pt>
                <c:pt idx="16">
                  <c:v>45624</c:v>
                </c:pt>
                <c:pt idx="17">
                  <c:v>45652</c:v>
                </c:pt>
                <c:pt idx="18">
                  <c:v>45680</c:v>
                </c:pt>
                <c:pt idx="19">
                  <c:v>45708</c:v>
                </c:pt>
                <c:pt idx="20">
                  <c:v>45736</c:v>
                </c:pt>
                <c:pt idx="21" formatCode="dd/mm/yy">
                  <c:v>45764</c:v>
                </c:pt>
                <c:pt idx="22" formatCode="dd/mm/yy">
                  <c:v>45792</c:v>
                </c:pt>
                <c:pt idx="23" formatCode="dd/mm/yy">
                  <c:v>45820</c:v>
                </c:pt>
                <c:pt idx="24" formatCode="dd/mm/yy">
                  <c:v>45848</c:v>
                </c:pt>
                <c:pt idx="25" formatCode="dd/mm/yy">
                  <c:v>45876</c:v>
                </c:pt>
                <c:pt idx="26" formatCode="dd/mm/yy">
                  <c:v>45904</c:v>
                </c:pt>
                <c:pt idx="27" formatCode="dd/mm/yy">
                  <c:v>45932</c:v>
                </c:pt>
                <c:pt idx="28" formatCode="dd/mm/yy">
                  <c:v>45960</c:v>
                </c:pt>
                <c:pt idx="29" formatCode="dd/mm/yy">
                  <c:v>45988</c:v>
                </c:pt>
              </c:numCache>
            </c:numRef>
          </c:xVal>
          <c:yVal>
            <c:numRef>
              <c:f>FHMRF!$C$2:$C$31</c:f>
              <c:numCache>
                <c:formatCode>0.0%</c:formatCode>
                <c:ptCount val="30"/>
                <c:pt idx="0">
                  <c:v>-5.0000000000000001E-3</c:v>
                </c:pt>
                <c:pt idx="1">
                  <c:v>-1.2999999999999999E-2</c:v>
                </c:pt>
                <c:pt idx="2">
                  <c:v>-1.2999999999999999E-2</c:v>
                </c:pt>
                <c:pt idx="3">
                  <c:v>-1.2999999999999999E-2</c:v>
                </c:pt>
                <c:pt idx="4">
                  <c:v>-1.2999999999999999E-2</c:v>
                </c:pt>
                <c:pt idx="5">
                  <c:v>-1.2999999999999999E-2</c:v>
                </c:pt>
                <c:pt idx="6">
                  <c:v>-1.2E-2</c:v>
                </c:pt>
                <c:pt idx="7">
                  <c:v>-1.4E-2</c:v>
                </c:pt>
                <c:pt idx="8">
                  <c:v>-1.2999999999999999E-2</c:v>
                </c:pt>
                <c:pt idx="9">
                  <c:v>-1.4E-2</c:v>
                </c:pt>
                <c:pt idx="10">
                  <c:v>-1.4E-2</c:v>
                </c:pt>
                <c:pt idx="11">
                  <c:v>-1.4999999999999999E-2</c:v>
                </c:pt>
                <c:pt idx="12">
                  <c:v>-1.4999999999999999E-2</c:v>
                </c:pt>
                <c:pt idx="13">
                  <c:v>-1.4999999999999999E-2</c:v>
                </c:pt>
                <c:pt idx="14">
                  <c:v>-1.4999999999999999E-2</c:v>
                </c:pt>
                <c:pt idx="15">
                  <c:v>-1.6E-2</c:v>
                </c:pt>
                <c:pt idx="16">
                  <c:v>-1.4999999999999999E-2</c:v>
                </c:pt>
                <c:pt idx="17">
                  <c:v>-1.4E-2</c:v>
                </c:pt>
                <c:pt idx="18">
                  <c:v>-1.4E-2</c:v>
                </c:pt>
                <c:pt idx="19">
                  <c:v>-1.2E-2</c:v>
                </c:pt>
                <c:pt idx="20">
                  <c:v>-1.0999999999999999E-2</c:v>
                </c:pt>
                <c:pt idx="21">
                  <c:v>-1.0999999999999999E-2</c:v>
                </c:pt>
                <c:pt idx="22">
                  <c:v>-1.2E-2</c:v>
                </c:pt>
                <c:pt idx="23">
                  <c:v>-1.0999999999999999E-2</c:v>
                </c:pt>
                <c:pt idx="24">
                  <c:v>-1.0999999999999999E-2</c:v>
                </c:pt>
                <c:pt idx="25">
                  <c:v>-1.0999999999999999E-2</c:v>
                </c:pt>
                <c:pt idx="26">
                  <c:v>-1.0999999999999999E-2</c:v>
                </c:pt>
                <c:pt idx="27">
                  <c:v>-1.0999999999999999E-2</c:v>
                </c:pt>
                <c:pt idx="28">
                  <c:v>-1.0999999999999999E-2</c:v>
                </c:pt>
                <c:pt idx="29">
                  <c:v>-1.2E-2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87A-4D14-9125-D6CC0DA867D5}"/>
            </c:ext>
          </c:extLst>
        </c:ser>
        <c:ser>
          <c:idx val="2"/>
          <c:order val="2"/>
          <c:tx>
            <c:strRef>
              <c:f>FHMRF!$D$1</c:f>
              <c:strCache>
                <c:ptCount val="1"/>
                <c:pt idx="0">
                  <c:v>%FUEL FLOW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FHMRF!$B$2:$B$31</c:f>
              <c:numCache>
                <c:formatCode>m/d/yyyy</c:formatCode>
                <c:ptCount val="30"/>
                <c:pt idx="0">
                  <c:v>45148</c:v>
                </c:pt>
                <c:pt idx="1">
                  <c:v>45176</c:v>
                </c:pt>
                <c:pt idx="2">
                  <c:v>45204</c:v>
                </c:pt>
                <c:pt idx="3">
                  <c:v>45232</c:v>
                </c:pt>
                <c:pt idx="4">
                  <c:v>45260</c:v>
                </c:pt>
                <c:pt idx="5">
                  <c:v>45288</c:v>
                </c:pt>
                <c:pt idx="6">
                  <c:v>45316</c:v>
                </c:pt>
                <c:pt idx="7">
                  <c:v>45344</c:v>
                </c:pt>
                <c:pt idx="8">
                  <c:v>45372</c:v>
                </c:pt>
                <c:pt idx="9">
                  <c:v>45400</c:v>
                </c:pt>
                <c:pt idx="10">
                  <c:v>45428</c:v>
                </c:pt>
                <c:pt idx="11">
                  <c:v>45456</c:v>
                </c:pt>
                <c:pt idx="12">
                  <c:v>45512</c:v>
                </c:pt>
                <c:pt idx="13">
                  <c:v>45540</c:v>
                </c:pt>
                <c:pt idx="14">
                  <c:v>45568</c:v>
                </c:pt>
                <c:pt idx="15">
                  <c:v>45596</c:v>
                </c:pt>
                <c:pt idx="16">
                  <c:v>45624</c:v>
                </c:pt>
                <c:pt idx="17">
                  <c:v>45652</c:v>
                </c:pt>
                <c:pt idx="18">
                  <c:v>45680</c:v>
                </c:pt>
                <c:pt idx="19">
                  <c:v>45708</c:v>
                </c:pt>
                <c:pt idx="20">
                  <c:v>45736</c:v>
                </c:pt>
                <c:pt idx="21" formatCode="dd/mm/yy">
                  <c:v>45764</c:v>
                </c:pt>
                <c:pt idx="22" formatCode="dd/mm/yy">
                  <c:v>45792</c:v>
                </c:pt>
                <c:pt idx="23" formatCode="dd/mm/yy">
                  <c:v>45820</c:v>
                </c:pt>
                <c:pt idx="24" formatCode="dd/mm/yy">
                  <c:v>45848</c:v>
                </c:pt>
                <c:pt idx="25" formatCode="dd/mm/yy">
                  <c:v>45876</c:v>
                </c:pt>
                <c:pt idx="26" formatCode="dd/mm/yy">
                  <c:v>45904</c:v>
                </c:pt>
                <c:pt idx="27" formatCode="dd/mm/yy">
                  <c:v>45932</c:v>
                </c:pt>
                <c:pt idx="28" formatCode="dd/mm/yy">
                  <c:v>45960</c:v>
                </c:pt>
                <c:pt idx="29" formatCode="dd/mm/yy">
                  <c:v>45988</c:v>
                </c:pt>
              </c:numCache>
            </c:numRef>
          </c:xVal>
          <c:yVal>
            <c:numRef>
              <c:f>FHMRF!$D$2:$D$31</c:f>
              <c:numCache>
                <c:formatCode>0.0%</c:formatCode>
                <c:ptCount val="30"/>
                <c:pt idx="0">
                  <c:v>3.5000000000000003E-2</c:v>
                </c:pt>
                <c:pt idx="1">
                  <c:v>3.5000000000000003E-2</c:v>
                </c:pt>
                <c:pt idx="2">
                  <c:v>3.5999999999999997E-2</c:v>
                </c:pt>
                <c:pt idx="3">
                  <c:v>3.5999999999999997E-2</c:v>
                </c:pt>
                <c:pt idx="4">
                  <c:v>3.6999999999999998E-2</c:v>
                </c:pt>
                <c:pt idx="5">
                  <c:v>3.6999999999999998E-2</c:v>
                </c:pt>
                <c:pt idx="6">
                  <c:v>3.9E-2</c:v>
                </c:pt>
                <c:pt idx="7">
                  <c:v>3.7999999999999999E-2</c:v>
                </c:pt>
                <c:pt idx="8">
                  <c:v>4.1000000000000002E-2</c:v>
                </c:pt>
                <c:pt idx="9">
                  <c:v>3.9E-2</c:v>
                </c:pt>
                <c:pt idx="10">
                  <c:v>3.7999999999999999E-2</c:v>
                </c:pt>
                <c:pt idx="11">
                  <c:v>3.5999999999999997E-2</c:v>
                </c:pt>
                <c:pt idx="12">
                  <c:v>3.2000000000000001E-2</c:v>
                </c:pt>
                <c:pt idx="13">
                  <c:v>3.2000000000000001E-2</c:v>
                </c:pt>
                <c:pt idx="14">
                  <c:v>3.1E-2</c:v>
                </c:pt>
                <c:pt idx="15">
                  <c:v>3.2000000000000001E-2</c:v>
                </c:pt>
                <c:pt idx="16">
                  <c:v>3.3000000000000002E-2</c:v>
                </c:pt>
                <c:pt idx="17">
                  <c:v>3.3000000000000002E-2</c:v>
                </c:pt>
                <c:pt idx="18">
                  <c:v>3.4000000000000002E-2</c:v>
                </c:pt>
                <c:pt idx="19">
                  <c:v>3.5999999999999997E-2</c:v>
                </c:pt>
                <c:pt idx="20">
                  <c:v>3.6999999999999998E-2</c:v>
                </c:pt>
                <c:pt idx="21">
                  <c:v>3.5999999999999997E-2</c:v>
                </c:pt>
                <c:pt idx="22">
                  <c:v>3.5999999999999997E-2</c:v>
                </c:pt>
                <c:pt idx="23">
                  <c:v>3.5000000000000003E-2</c:v>
                </c:pt>
                <c:pt idx="24">
                  <c:v>3.3000000000000002E-2</c:v>
                </c:pt>
                <c:pt idx="25">
                  <c:v>3.3000000000000002E-2</c:v>
                </c:pt>
                <c:pt idx="26">
                  <c:v>3.2000000000000001E-2</c:v>
                </c:pt>
                <c:pt idx="27">
                  <c:v>3.1E-2</c:v>
                </c:pt>
                <c:pt idx="28">
                  <c:v>3.2000000000000001E-2</c:v>
                </c:pt>
                <c:pt idx="29">
                  <c:v>3.6999999999999998E-2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87A-4D14-9125-D6CC0DA867D5}"/>
            </c:ext>
          </c:extLst>
        </c:ser>
        <c:ser>
          <c:idx val="3"/>
          <c:order val="3"/>
          <c:tx>
            <c:strRef>
              <c:f>FHMRF!$E$1</c:f>
              <c:strCache>
                <c:ptCount val="1"/>
                <c:pt idx="0">
                  <c:v>Fuel Flow Factor = -(%FM)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559F943-875B-4F1E-81A2-02AF97320CA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0671EFBB-60B4-4C96-9DB1-45D46186840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B87A-4D14-9125-D6CC0DA867D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B80D6E-32EB-4EAD-A723-1F83D08C4511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70B9135-98AC-403A-8894-3ECCCD08D4B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B87A-4D14-9125-D6CC0DA867D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2D021A0-6758-4FA8-AF79-EE8830A74660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0E08E10F-3546-4E6A-923F-5AA37B92A37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B87A-4D14-9125-D6CC0DA867D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C8538B-B166-4707-99B6-D03C849A0471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7B63BB2-869E-4521-A91B-3EA022C0B4CA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B87A-4D14-9125-D6CC0DA867D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3787586-654F-40F2-952F-FEA9C4DE4402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41EC28E-43A2-49CD-A997-608FB08D9B6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B87A-4D14-9125-D6CC0DA867D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C60517-EDE5-44C0-AE22-39DDA50E2550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D1B07B08-CFF4-4E4A-A6D0-CA05535FADC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B87A-4D14-9125-D6CC0DA867D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A71977-9215-40EC-99E7-522E97FBFE4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8E1F6714-4E0E-4AF0-817A-13126F01160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B87A-4D14-9125-D6CC0DA867D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BC3B72-FEBF-4ED7-B346-59214116C4BA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08D7B3C-E6F2-49D8-B9F5-78EB5396273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B87A-4D14-9125-D6CC0DA867D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3A59D3-D32C-4BD0-8759-BAA963EA2531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3B8CA86-3743-4C17-90B1-D7481E650C19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B87A-4D14-9125-D6CC0DA867D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BA068CC-2DE4-44AC-8450-11C5E0079D4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5808370D-0112-4F53-9ACB-0F2DC0218B9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B87A-4D14-9125-D6CC0DA867D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62F385-ED49-4077-80B9-5728C55CB77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5EE64F0-4F27-4CD7-999C-E44F5A24707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B87A-4D14-9125-D6CC0DA867D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8CBF55-5B3A-46EE-BC18-E5AACB5593A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E41A332-400D-46FA-A407-557B2F849CE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B87A-4D14-9125-D6CC0DA867D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219170-0B1F-4611-9228-9E82CD95BAAA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4817C653-0B50-4153-88BB-690140F43900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B87A-4D14-9125-D6CC0DA867D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2BDD52B-2300-40D4-ACDC-7B1C79BEAD2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C4EEA30-9243-4EFF-9C10-94F5FCC76ECC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B87A-4D14-9125-D6CC0DA867D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BF3626D-DAF3-4B34-92D3-E2885A810910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E43769B3-6AAC-4DCC-85FF-8FCD6D210D7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B87A-4D14-9125-D6CC0DA867D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C969E61-BA55-4B04-A208-42D84C35894F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8BDCA0BA-F632-4F71-A529-D6B1537E3AB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B87A-4D14-9125-D6CC0DA867D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36B2E42-0B8A-41C1-B817-7B50627D7A5C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0EBE16B-6536-44ED-B9DD-5554130E963D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B87A-4D14-9125-D6CC0DA867D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4335DFB-E38E-4D9D-BB26-DC382F696D1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85F24A1-F03A-46ED-963A-E8E725E50FD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B87A-4D14-9125-D6CC0DA867D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92CE2F8-8C34-4CA9-9BE0-7A76DAF0E5B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B779987-55EC-42DA-AD43-E55AB1C61585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B87A-4D14-9125-D6CC0DA867D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F203DBB-DBD4-4B48-AA11-56CABFF7D84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D1E7B7EA-9774-4017-8F31-9BC03ED35F50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B87A-4D14-9125-D6CC0DA867D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8B8330C-AE55-478D-866C-FB4F52867C9E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AEDFC2CA-D672-43D1-901C-34706D11DC92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31E-413D-B28C-89921108566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0F32195-DF2E-4D25-ACFE-4703652918B0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88EA3DE3-F141-43D1-9536-12A71B002E88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3CF-463E-8197-19F7F07A939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92326F0-1274-41CE-9A1C-A61BFB956A5C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287249A3-F12C-4602-97B5-5B708FBE6808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22-44DF-8994-6FF420C25C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097C96D-8174-4D16-AC30-BDDF4C54040E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286FA9E8-42BA-444B-A4B2-E0C4AFCAF7DE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F94-4611-8A6D-57DFEC3D86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BA6146F-2CDF-4037-93FC-EA83558DB161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C45DBBF-3A5B-4A23-8F39-B2BEC2140C88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DC8-4B13-AEE7-5FE1FB7DF95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3D0B050-AC01-4803-BB1C-0B476D57183D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0C113019-6EBD-4645-8FFC-BE4ECB01A915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B78-429A-A14F-FFCA7D968F9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DB1BB4B-A498-4A3E-8E8E-F2912CDB2186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FE208D40-E669-4227-B457-300545BF8395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AB7-4686-8BA4-BA41385E95B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8B56396-BE85-4E11-A635-61D894A6817A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7290058F-355D-4701-A943-0B52772C7D78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2C-45A2-B57B-F4D299FA2AC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B87B36B1-4D8F-4B7B-99F1-FC5ACFFA645B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407E9CEF-4476-4EE2-AE7E-427AAEB61657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FD6-464B-89A6-31C7D6002939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869CF36-A33B-41BA-AEF0-6A78F03A8636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267256EF-E4A0-4DE9-9A8A-A9756969654B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94-4C6A-BADA-8B4F68393E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FHMRF!$B$2:$B$31</c:f>
              <c:numCache>
                <c:formatCode>m/d/yyyy</c:formatCode>
                <c:ptCount val="30"/>
                <c:pt idx="0">
                  <c:v>45148</c:v>
                </c:pt>
                <c:pt idx="1">
                  <c:v>45176</c:v>
                </c:pt>
                <c:pt idx="2">
                  <c:v>45204</c:v>
                </c:pt>
                <c:pt idx="3">
                  <c:v>45232</c:v>
                </c:pt>
                <c:pt idx="4">
                  <c:v>45260</c:v>
                </c:pt>
                <c:pt idx="5">
                  <c:v>45288</c:v>
                </c:pt>
                <c:pt idx="6">
                  <c:v>45316</c:v>
                </c:pt>
                <c:pt idx="7">
                  <c:v>45344</c:v>
                </c:pt>
                <c:pt idx="8">
                  <c:v>45372</c:v>
                </c:pt>
                <c:pt idx="9">
                  <c:v>45400</c:v>
                </c:pt>
                <c:pt idx="10">
                  <c:v>45428</c:v>
                </c:pt>
                <c:pt idx="11">
                  <c:v>45456</c:v>
                </c:pt>
                <c:pt idx="12">
                  <c:v>45512</c:v>
                </c:pt>
                <c:pt idx="13">
                  <c:v>45540</c:v>
                </c:pt>
                <c:pt idx="14">
                  <c:v>45568</c:v>
                </c:pt>
                <c:pt idx="15">
                  <c:v>45596</c:v>
                </c:pt>
                <c:pt idx="16">
                  <c:v>45624</c:v>
                </c:pt>
                <c:pt idx="17">
                  <c:v>45652</c:v>
                </c:pt>
                <c:pt idx="18">
                  <c:v>45680</c:v>
                </c:pt>
                <c:pt idx="19">
                  <c:v>45708</c:v>
                </c:pt>
                <c:pt idx="20">
                  <c:v>45736</c:v>
                </c:pt>
                <c:pt idx="21" formatCode="dd/mm/yy">
                  <c:v>45764</c:v>
                </c:pt>
                <c:pt idx="22" formatCode="dd/mm/yy">
                  <c:v>45792</c:v>
                </c:pt>
                <c:pt idx="23" formatCode="dd/mm/yy">
                  <c:v>45820</c:v>
                </c:pt>
                <c:pt idx="24" formatCode="dd/mm/yy">
                  <c:v>45848</c:v>
                </c:pt>
                <c:pt idx="25" formatCode="dd/mm/yy">
                  <c:v>45876</c:v>
                </c:pt>
                <c:pt idx="26" formatCode="dd/mm/yy">
                  <c:v>45904</c:v>
                </c:pt>
                <c:pt idx="27" formatCode="dd/mm/yy">
                  <c:v>45932</c:v>
                </c:pt>
                <c:pt idx="28" formatCode="dd/mm/yy">
                  <c:v>45960</c:v>
                </c:pt>
                <c:pt idx="29" formatCode="dd/mm/yy">
                  <c:v>45988</c:v>
                </c:pt>
              </c:numCache>
            </c:numRef>
          </c:xVal>
          <c:yVal>
            <c:numRef>
              <c:f>FHMRF!$E$2:$E$31</c:f>
              <c:numCache>
                <c:formatCode>0.0%</c:formatCode>
                <c:ptCount val="30"/>
                <c:pt idx="0">
                  <c:v>0.03</c:v>
                </c:pt>
                <c:pt idx="1">
                  <c:v>2.3E-2</c:v>
                </c:pt>
                <c:pt idx="2">
                  <c:v>2.4E-2</c:v>
                </c:pt>
                <c:pt idx="3">
                  <c:v>2.5000000000000001E-2</c:v>
                </c:pt>
                <c:pt idx="4">
                  <c:v>2.5000000000000001E-2</c:v>
                </c:pt>
                <c:pt idx="5">
                  <c:v>2.5000000000000001E-2</c:v>
                </c:pt>
                <c:pt idx="6">
                  <c:v>2.8000000000000001E-2</c:v>
                </c:pt>
                <c:pt idx="7">
                  <c:v>2.5999999999999999E-2</c:v>
                </c:pt>
                <c:pt idx="8">
                  <c:v>2.9000000000000001E-2</c:v>
                </c:pt>
                <c:pt idx="9">
                  <c:v>2.5999999999999999E-2</c:v>
                </c:pt>
                <c:pt idx="10">
                  <c:v>2.5000000000000001E-2</c:v>
                </c:pt>
                <c:pt idx="11">
                  <c:v>2.3E-2</c:v>
                </c:pt>
                <c:pt idx="12">
                  <c:v>1.9E-2</c:v>
                </c:pt>
                <c:pt idx="13">
                  <c:v>1.7999999999999999E-2</c:v>
                </c:pt>
                <c:pt idx="14">
                  <c:v>1.7999999999999999E-2</c:v>
                </c:pt>
                <c:pt idx="15">
                  <c:v>1.7999999999999999E-2</c:v>
                </c:pt>
                <c:pt idx="16">
                  <c:v>1.9E-2</c:v>
                </c:pt>
                <c:pt idx="17">
                  <c:v>1.9E-2</c:v>
                </c:pt>
                <c:pt idx="18">
                  <c:v>0.02</c:v>
                </c:pt>
                <c:pt idx="19">
                  <c:v>2.3E-2</c:v>
                </c:pt>
                <c:pt idx="20">
                  <c:v>2.4E-2</c:v>
                </c:pt>
                <c:pt idx="21">
                  <c:v>2.3E-2</c:v>
                </c:pt>
                <c:pt idx="22">
                  <c:v>2.1999999999999999E-2</c:v>
                </c:pt>
                <c:pt idx="23">
                  <c:v>2.1000000000000001E-2</c:v>
                </c:pt>
                <c:pt idx="24">
                  <c:v>0.02</c:v>
                </c:pt>
                <c:pt idx="25">
                  <c:v>1.9E-2</c:v>
                </c:pt>
                <c:pt idx="26">
                  <c:v>1.9E-2</c:v>
                </c:pt>
                <c:pt idx="27">
                  <c:v>1.7999999999999999E-2</c:v>
                </c:pt>
                <c:pt idx="28">
                  <c:v>1.9E-2</c:v>
                </c:pt>
                <c:pt idx="29">
                  <c:v>2.3E-2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FHMRF!$A$2:$A$31</c15:f>
                <c15:dlblRangeCache>
                  <c:ptCount val="30"/>
                  <c:pt idx="0">
                    <c:v>2308</c:v>
                  </c:pt>
                  <c:pt idx="1">
                    <c:v>2309</c:v>
                  </c:pt>
                  <c:pt idx="2">
                    <c:v>2310</c:v>
                  </c:pt>
                  <c:pt idx="3">
                    <c:v>2311</c:v>
                  </c:pt>
                  <c:pt idx="4">
                    <c:v>2312</c:v>
                  </c:pt>
                  <c:pt idx="5">
                    <c:v>2401</c:v>
                  </c:pt>
                  <c:pt idx="6">
                    <c:v>2402</c:v>
                  </c:pt>
                  <c:pt idx="7">
                    <c:v>2403</c:v>
                  </c:pt>
                  <c:pt idx="8">
                    <c:v>2404</c:v>
                  </c:pt>
                  <c:pt idx="9">
                    <c:v>2405</c:v>
                  </c:pt>
                  <c:pt idx="10">
                    <c:v>2406</c:v>
                  </c:pt>
                  <c:pt idx="11">
                    <c:v>2407</c:v>
                  </c:pt>
                  <c:pt idx="12">
                    <c:v>2408</c:v>
                  </c:pt>
                  <c:pt idx="13">
                    <c:v>2409</c:v>
                  </c:pt>
                  <c:pt idx="14">
                    <c:v>2410</c:v>
                  </c:pt>
                  <c:pt idx="15">
                    <c:v>2411</c:v>
                  </c:pt>
                  <c:pt idx="16">
                    <c:v>2412</c:v>
                  </c:pt>
                  <c:pt idx="17">
                    <c:v>2413</c:v>
                  </c:pt>
                  <c:pt idx="18">
                    <c:v>2501</c:v>
                  </c:pt>
                  <c:pt idx="19">
                    <c:v>2502</c:v>
                  </c:pt>
                  <c:pt idx="20">
                    <c:v>2503</c:v>
                  </c:pt>
                  <c:pt idx="21">
                    <c:v>2504</c:v>
                  </c:pt>
                  <c:pt idx="22">
                    <c:v>2505</c:v>
                  </c:pt>
                  <c:pt idx="23">
                    <c:v>2506</c:v>
                  </c:pt>
                  <c:pt idx="24">
                    <c:v>2507</c:v>
                  </c:pt>
                  <c:pt idx="25">
                    <c:v>2508</c:v>
                  </c:pt>
                  <c:pt idx="26">
                    <c:v>2509</c:v>
                  </c:pt>
                  <c:pt idx="27">
                    <c:v>2510</c:v>
                  </c:pt>
                  <c:pt idx="28">
                    <c:v>2511</c:v>
                  </c:pt>
                  <c:pt idx="29">
                    <c:v>2512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B87A-4D14-9125-D6CC0DA867D5}"/>
            </c:ext>
          </c:extLst>
        </c:ser>
        <c:ser>
          <c:idx val="4"/>
          <c:order val="4"/>
          <c:tx>
            <c:strRef>
              <c:f>FHMRF!$O$1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719E3D2-5A3C-4E3C-B123-F56C23E9FE8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B87A-4D14-9125-D6CC0DA867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FHMRF!$M$2</c:f>
              <c:numCache>
                <c:formatCode>m/d/yyyy</c:formatCode>
                <c:ptCount val="1"/>
                <c:pt idx="0">
                  <c:v>45988</c:v>
                </c:pt>
              </c:numCache>
            </c:numRef>
          </c:xVal>
          <c:yVal>
            <c:numRef>
              <c:f>FHMRF!$N$2</c:f>
              <c:numCache>
                <c:formatCode>0.00%</c:formatCode>
                <c:ptCount val="1"/>
                <c:pt idx="0">
                  <c:v>2.3E-2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FHMRF!$O$2</c15:f>
                <c15:dlblRangeCache>
                  <c:ptCount val="1"/>
                  <c:pt idx="0">
                    <c:v>2512, actual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6-B87A-4D14-9125-D6CC0DA867D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95162623"/>
        <c:axId val="295164543"/>
      </c:scatterChart>
      <c:valAx>
        <c:axId val="295162623"/>
        <c:scaling>
          <c:orientation val="minMax"/>
        </c:scaling>
        <c:delete val="0"/>
        <c:axPos val="b"/>
        <c:numFmt formatCode="dd/mm/yyyy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4543"/>
        <c:crosses val="autoZero"/>
        <c:crossBetween val="midCat"/>
      </c:valAx>
      <c:valAx>
        <c:axId val="2951645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FHMRO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Events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mpd="dbl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7D54-47AF-862D-6D4F5E70C8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D54-47AF-862D-6D4F5E70C8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D54-47AF-862D-6D4F5E70C8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D54-47AF-862D-6D4F5E70C8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D54-47AF-862D-6D4F5E70C8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D54-47AF-862D-6D4F5E70C8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D54-47AF-862D-6D4F5E70C8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D54-47AF-862D-6D4F5E70C8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200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FHMRO!$I$2:$I$9</c:f>
              <c:numCache>
                <c:formatCode>[$-409]d\-mmm\-yyyy;@</c:formatCode>
                <c:ptCount val="8"/>
              </c:numCache>
            </c:numRef>
          </c:xVal>
          <c:yVal>
            <c:numRef>
              <c:f>FHMRO!$J$2:$J$9</c:f>
              <c:numCache>
                <c:formatCode>0.00%</c:formatCode>
                <c:ptCount val="8"/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FHMRB!$K$2:$K$9</c15:f>
                <c15:dlblRangeCache>
                  <c:ptCount val="8"/>
                  <c:pt idx="0">
                    <c:v>LH engine wash</c:v>
                  </c:pt>
                  <c:pt idx="1">
                    <c:v>RH engine wash</c:v>
                  </c:pt>
                  <c:pt idx="2">
                    <c:v>Dual engine wash</c:v>
                  </c:pt>
                  <c:pt idx="3">
                    <c:v>RH engine  + Airframe wash</c:v>
                  </c:pt>
                  <c:pt idx="4">
                    <c:v>New line maintenance provider</c:v>
                  </c:pt>
                  <c:pt idx="5">
                    <c:v>LH engine wash</c:v>
                  </c:pt>
                  <c:pt idx="6">
                    <c:v>RH engine wash</c:v>
                  </c:pt>
                  <c:pt idx="7">
                    <c:v>LH engine wash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7D54-47AF-862D-6D4F5E70C866}"/>
            </c:ext>
          </c:extLst>
        </c:ser>
        <c:ser>
          <c:idx val="1"/>
          <c:order val="1"/>
          <c:tx>
            <c:strRef>
              <c:f>FHMRO!$C$1</c:f>
              <c:strCache>
                <c:ptCount val="1"/>
                <c:pt idx="0">
                  <c:v>%THRST REQD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D54-47AF-862D-6D4F5E70C8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FHMRO!$B$2:$B$18</c:f>
              <c:numCache>
                <c:formatCode>m/d/yyyy</c:formatCode>
                <c:ptCount val="17"/>
                <c:pt idx="0">
                  <c:v>45848</c:v>
                </c:pt>
                <c:pt idx="1">
                  <c:v>45876</c:v>
                </c:pt>
                <c:pt idx="2">
                  <c:v>45904</c:v>
                </c:pt>
                <c:pt idx="3">
                  <c:v>45932</c:v>
                </c:pt>
                <c:pt idx="4">
                  <c:v>45960</c:v>
                </c:pt>
                <c:pt idx="5" formatCode="dd/mm/yy">
                  <c:v>45988</c:v>
                </c:pt>
              </c:numCache>
            </c:numRef>
          </c:xVal>
          <c:yVal>
            <c:numRef>
              <c:f>FHMRO!$C$2:$C$18</c:f>
              <c:numCache>
                <c:formatCode>0.0%</c:formatCode>
                <c:ptCount val="17"/>
                <c:pt idx="5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54-47AF-862D-6D4F5E70C866}"/>
            </c:ext>
          </c:extLst>
        </c:ser>
        <c:ser>
          <c:idx val="2"/>
          <c:order val="2"/>
          <c:tx>
            <c:strRef>
              <c:f>FHMRO!$D$1</c:f>
              <c:strCache>
                <c:ptCount val="1"/>
                <c:pt idx="0">
                  <c:v>%FUEL FLOW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FHMRO!$B$2:$B$18</c:f>
              <c:numCache>
                <c:formatCode>m/d/yyyy</c:formatCode>
                <c:ptCount val="17"/>
                <c:pt idx="0">
                  <c:v>45848</c:v>
                </c:pt>
                <c:pt idx="1">
                  <c:v>45876</c:v>
                </c:pt>
                <c:pt idx="2">
                  <c:v>45904</c:v>
                </c:pt>
                <c:pt idx="3">
                  <c:v>45932</c:v>
                </c:pt>
                <c:pt idx="4">
                  <c:v>45960</c:v>
                </c:pt>
                <c:pt idx="5" formatCode="dd/mm/yy">
                  <c:v>45988</c:v>
                </c:pt>
              </c:numCache>
            </c:numRef>
          </c:xVal>
          <c:yVal>
            <c:numRef>
              <c:f>FHMRO!$D$2:$D$18</c:f>
              <c:numCache>
                <c:formatCode>0.0%</c:formatCode>
                <c:ptCount val="17"/>
                <c:pt idx="5">
                  <c:v>1.2E-2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D54-47AF-862D-6D4F5E70C866}"/>
            </c:ext>
          </c:extLst>
        </c:ser>
        <c:ser>
          <c:idx val="3"/>
          <c:order val="3"/>
          <c:tx>
            <c:strRef>
              <c:f>FHMRO!$E$1</c:f>
              <c:strCache>
                <c:ptCount val="1"/>
                <c:pt idx="0">
                  <c:v>Fuel Flow factor = -(%FM)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3C5C211-DACD-4754-ADF5-A78FF124EDA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6014019B-88B7-4D53-8DAB-A368E11EDF1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7D54-47AF-862D-6D4F5E70C8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4EA2AF-E3AB-4387-AAF1-E5747A4025F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37D29B2-D8A0-4293-8BE3-E04FEC8E9B04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7D54-47AF-862D-6D4F5E70C8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7F7A38-2CAB-4D5B-B1E2-EB2A5C02EF4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4CBE522-1687-4856-90FD-7E2894B5503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7D54-47AF-862D-6D4F5E70C8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D72255-B7C8-47BD-B479-B5A9C851DE12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36475F62-F769-4CF8-8F90-F6729EA12DB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D54-47AF-862D-6D4F5E70C8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D955A22-B2A9-4683-8FB7-9E8CC9B57CB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7EDF59E-8565-4F86-BE3E-09A208D8756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D54-47AF-862D-6D4F5E70C8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19BC47-2284-4192-BBEB-55D27F3A1E6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B1B51C3-5DE3-4C8A-9CA2-C1B19359A7C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7D54-47AF-862D-6D4F5E70C8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0FCD9B5-7466-458A-8427-A15854CBBF6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C97C9FE1-4F67-4D31-9071-E1384529663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7D54-47AF-862D-6D4F5E70C8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EC6E689-D960-43C8-8816-7C7A90BEFF1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738C44B-08D0-437D-962D-AB5AACA347C7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7D54-47AF-862D-6D4F5E70C8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AC4B812-2F99-4201-A752-74127D3C8AD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0584811-877A-4198-894F-92032406718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7D54-47AF-862D-6D4F5E70C8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2BA446-A5ED-41E4-8FA5-AB6AB412719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91026F6-11A8-423E-8557-694EB1A3C70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7D54-47AF-862D-6D4F5E70C8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B3E3B2-A4E1-4A99-B7FF-32A8BE7D400D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5B91336-0016-4757-8A23-2BA3815D9B74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7D54-47AF-862D-6D4F5E70C8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4C1B938-F376-44F7-B127-AD71CC9FEBB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29F3BA11-11E7-49D4-89A4-40FD2CC0165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7D54-47AF-862D-6D4F5E70C8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D54-47AF-862D-6D4F5E70C8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D54-47AF-862D-6D4F5E70C8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D54-47AF-862D-6D4F5E70C8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D54-47AF-862D-6D4F5E70C8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D54-47AF-862D-6D4F5E70C8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FHMRO!$B$2:$B$18</c:f>
              <c:numCache>
                <c:formatCode>m/d/yyyy</c:formatCode>
                <c:ptCount val="17"/>
                <c:pt idx="0">
                  <c:v>45848</c:v>
                </c:pt>
                <c:pt idx="1">
                  <c:v>45876</c:v>
                </c:pt>
                <c:pt idx="2">
                  <c:v>45904</c:v>
                </c:pt>
                <c:pt idx="3">
                  <c:v>45932</c:v>
                </c:pt>
                <c:pt idx="4">
                  <c:v>45960</c:v>
                </c:pt>
                <c:pt idx="5" formatCode="dd/mm/yy">
                  <c:v>45988</c:v>
                </c:pt>
              </c:numCache>
            </c:numRef>
          </c:xVal>
          <c:yVal>
            <c:numRef>
              <c:f>FHMRO!$E$2:$E$18</c:f>
              <c:numCache>
                <c:formatCode>0.0%</c:formatCode>
                <c:ptCount val="1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1.4E-2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FHMRO!$A$2:$A$18</c15:f>
                <c15:dlblRangeCache>
                  <c:ptCount val="17"/>
                  <c:pt idx="0">
                    <c:v>2507</c:v>
                  </c:pt>
                  <c:pt idx="1">
                    <c:v>2508</c:v>
                  </c:pt>
                  <c:pt idx="2">
                    <c:v>2509</c:v>
                  </c:pt>
                  <c:pt idx="3">
                    <c:v>2510</c:v>
                  </c:pt>
                  <c:pt idx="4">
                    <c:v>2511</c:v>
                  </c:pt>
                  <c:pt idx="5">
                    <c:v>2512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7D54-47AF-862D-6D4F5E70C866}"/>
            </c:ext>
          </c:extLst>
        </c:ser>
        <c:ser>
          <c:idx val="4"/>
          <c:order val="4"/>
          <c:tx>
            <c:strRef>
              <c:f>FHMRO!$O$1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D010A57-4831-4666-ACDD-9A4BEAF82C9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7D54-47AF-862D-6D4F5E70C8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FHMRO!$M$2</c:f>
              <c:numCache>
                <c:formatCode>m/d/yyyy</c:formatCode>
                <c:ptCount val="1"/>
                <c:pt idx="0">
                  <c:v>45988</c:v>
                </c:pt>
              </c:numCache>
            </c:numRef>
          </c:xVal>
          <c:yVal>
            <c:numRef>
              <c:f>FHMRO!$N$2</c:f>
              <c:numCache>
                <c:formatCode>0.00%</c:formatCode>
                <c:ptCount val="1"/>
                <c:pt idx="0">
                  <c:v>1.4E-2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FHMRO!$O$2</c15:f>
                <c15:dlblRangeCache>
                  <c:ptCount val="1"/>
                  <c:pt idx="0">
                    <c:v>2507, actual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7D54-47AF-862D-6D4F5E70C86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95162623"/>
        <c:axId val="295164543"/>
      </c:scatterChart>
      <c:valAx>
        <c:axId val="295162623"/>
        <c:scaling>
          <c:orientation val="minMax"/>
        </c:scaling>
        <c:delete val="0"/>
        <c:axPos val="b"/>
        <c:numFmt formatCode="dd/mm/yyyy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4543"/>
        <c:crosses val="autoZero"/>
        <c:crossBetween val="midCat"/>
      </c:valAx>
      <c:valAx>
        <c:axId val="29516454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5162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FHMRI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FHMRI!$S$1</c:f>
              <c:strCache>
                <c:ptCount val="1"/>
                <c:pt idx="0">
                  <c:v>Event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B5D7963-FE6E-45C0-B3D8-830DC704770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189-483B-AC65-BA0670402B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11D686B-D91A-43EA-8A4A-189078AE9A4F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189-483B-AC65-BA0670402B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246A74-4316-4542-AE65-98562C3950C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189-483B-AC65-BA0670402B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1044C8-FEDD-4E80-B0C9-4B887AF988C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189-483B-AC65-BA0670402B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4C7B7E8-F167-4924-8B2E-E01EB2BFF80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189-483B-AC65-BA0670402B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A3CD1C-0FF7-4384-A061-EBA4E98DC2A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189-483B-AC65-BA0670402B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F0056A4-FF04-4E98-BD28-264AD10D136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189-483B-AC65-BA0670402B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01B152-0BE2-4BBC-9DEC-9D353497915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189-483B-AC65-BA0670402B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9689CF0-0D8B-44B1-BD5B-A308400CD991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189-483B-AC65-BA0670402B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ECF2F7-D7D2-473B-8A01-B47C25B70E9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189-483B-AC65-BA0670402B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D18DFF6-680F-4CA4-995F-E1F7CCAFE25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189-483B-AC65-BA0670402B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26C91FB-7DE3-4FCE-95A5-6387E3AC690D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189-483B-AC65-BA0670402B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34A243-8BBA-45E2-B437-19F54D241FA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189-483B-AC65-BA0670402B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B9561C8-F564-4023-9782-EB5DF50DBA24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8ED-4BC1-9C43-96BA630A44A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1D8-402B-BB37-B664274FE7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percentage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percentage"/>
            <c:noEndCap val="0"/>
            <c:val val="200"/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round/>
              </a:ln>
              <a:effectLst/>
            </c:spPr>
          </c:errBars>
          <c:xVal>
            <c:numRef>
              <c:f>FHMRI!$Q$2:$Q$16</c:f>
              <c:numCache>
                <c:formatCode>[$-409]d\-mmm\-yyyy;@</c:formatCode>
                <c:ptCount val="15"/>
                <c:pt idx="0">
                  <c:v>45118</c:v>
                </c:pt>
                <c:pt idx="1">
                  <c:v>45118</c:v>
                </c:pt>
                <c:pt idx="2">
                  <c:v>45240</c:v>
                </c:pt>
                <c:pt idx="3">
                  <c:v>45333</c:v>
                </c:pt>
                <c:pt idx="4">
                  <c:v>45413</c:v>
                </c:pt>
                <c:pt idx="5">
                  <c:v>45414</c:v>
                </c:pt>
                <c:pt idx="6">
                  <c:v>45446</c:v>
                </c:pt>
                <c:pt idx="7">
                  <c:v>45497</c:v>
                </c:pt>
                <c:pt idx="8">
                  <c:v>45507</c:v>
                </c:pt>
                <c:pt idx="9">
                  <c:v>45562</c:v>
                </c:pt>
                <c:pt idx="10">
                  <c:v>45589</c:v>
                </c:pt>
                <c:pt idx="11">
                  <c:v>45601</c:v>
                </c:pt>
                <c:pt idx="12">
                  <c:v>45659</c:v>
                </c:pt>
                <c:pt idx="13">
                  <c:v>45806</c:v>
                </c:pt>
              </c:numCache>
            </c:numRef>
          </c:xVal>
          <c:yVal>
            <c:numRef>
              <c:f>FHMRI!$R$2:$R$16</c:f>
              <c:numCache>
                <c:formatCode>General</c:formatCode>
                <c:ptCount val="15"/>
                <c:pt idx="0">
                  <c:v>3</c:v>
                </c:pt>
                <c:pt idx="1">
                  <c:v>-3</c:v>
                </c:pt>
                <c:pt idx="2">
                  <c:v>-3</c:v>
                </c:pt>
                <c:pt idx="3">
                  <c:v>2.5</c:v>
                </c:pt>
                <c:pt idx="4">
                  <c:v>6</c:v>
                </c:pt>
                <c:pt idx="5">
                  <c:v>4.5</c:v>
                </c:pt>
                <c:pt idx="6">
                  <c:v>3</c:v>
                </c:pt>
                <c:pt idx="7">
                  <c:v>-4.5</c:v>
                </c:pt>
                <c:pt idx="8">
                  <c:v>-3.5</c:v>
                </c:pt>
                <c:pt idx="9">
                  <c:v>-3</c:v>
                </c:pt>
                <c:pt idx="10">
                  <c:v>5</c:v>
                </c:pt>
                <c:pt idx="11">
                  <c:v>4</c:v>
                </c:pt>
                <c:pt idx="12">
                  <c:v>-4</c:v>
                </c:pt>
                <c:pt idx="13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FHMRI!$S$2:$S$16</c15:f>
                <c15:dlblRangeCache>
                  <c:ptCount val="15"/>
                  <c:pt idx="0">
                    <c:v>RH engine wash</c:v>
                  </c:pt>
                  <c:pt idx="1">
                    <c:v>RH engine installed</c:v>
                  </c:pt>
                  <c:pt idx="2">
                    <c:v>LH engine installed</c:v>
                  </c:pt>
                  <c:pt idx="3">
                    <c:v>Dual engine wash</c:v>
                  </c:pt>
                  <c:pt idx="4">
                    <c:v>New line maintenance provider</c:v>
                  </c:pt>
                  <c:pt idx="5">
                    <c:v>Dual engine + Airframe wash</c:v>
                  </c:pt>
                  <c:pt idx="6">
                    <c:v>RH engine wash</c:v>
                  </c:pt>
                  <c:pt idx="7">
                    <c:v>RH engine removed</c:v>
                  </c:pt>
                  <c:pt idx="8">
                    <c:v>RH engine installed</c:v>
                  </c:pt>
                  <c:pt idx="9">
                    <c:v>RH engine swap</c:v>
                  </c:pt>
                  <c:pt idx="10">
                    <c:v>RH engine wash</c:v>
                  </c:pt>
                  <c:pt idx="11">
                    <c:v>LH engine wash</c:v>
                  </c:pt>
                  <c:pt idx="12">
                    <c:v>RH engine swap</c:v>
                  </c:pt>
                  <c:pt idx="13">
                    <c:v>LH engine wash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189-483B-AC65-BA0670402B1B}"/>
            </c:ext>
          </c:extLst>
        </c:ser>
        <c:ser>
          <c:idx val="1"/>
          <c:order val="1"/>
          <c:tx>
            <c:strRef>
              <c:f>FHMRI!$M$1</c:f>
              <c:strCache>
                <c:ptCount val="1"/>
                <c:pt idx="0">
                  <c:v>OFP Perf Factor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FACB4A-F0E2-495A-9A43-75F82C5DF23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E5E3AFC-6C4B-4025-B728-73B4F340DA80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B189-483B-AC65-BA0670402B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10F2BD-06CF-4DC2-A8A8-9E3291FF5D27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0A6C8EF3-6C07-40DA-8026-5110EBF1FC5D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B189-483B-AC65-BA0670402B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FC69D1-56C4-47CA-B76D-BA298462561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EF580A5D-1F03-471A-A820-1250A24809DF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B189-483B-AC65-BA0670402B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217D1B-74EA-4DA1-BD69-B18438F9E1E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3AD49FB-BCCC-44CE-B1DD-CF782EC80C5D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C-B189-483B-AC65-BA0670402B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F7047C-86E7-4F00-A2B9-F62BD59344D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DFB6A02-72E3-4634-A018-64526D8394A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B189-483B-AC65-BA0670402B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50A6679-22A3-4171-81CB-9C8A8E78BD73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76CFB23-3D5C-43C0-99EA-C8855E6BC37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E-B189-483B-AC65-BA0670402B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93645E3-DE5A-4E22-951E-0601573370F5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F11C5EE2-0AA4-4B73-A1E9-887EFC05FF93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B189-483B-AC65-BA0670402B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555F54-6F88-4E9D-A8BC-F458B33FC7E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1AEBF30-1FB8-4CDA-A8C5-E0ADFB7D5D4E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B189-483B-AC65-BA0670402B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3A206DB-A0A4-4A7F-82C3-5A4D96CA865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6CA620FE-7776-42AA-9BA4-9A237C2E24F1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B189-483B-AC65-BA0670402B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124C39-1D58-4940-94DE-E8BEE003394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DD60E1A-4784-4312-8B82-EDD36E4BB948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2-B189-483B-AC65-BA0670402B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F3B6221-05CA-41D2-83FB-E54BE9CC4DCF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81B8F3A5-38FA-48CF-A03F-C8D82F7986E3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3-B189-483B-AC65-BA0670402B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1D84ED5-6CA2-4966-A5E7-E2E64F9DC31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B871489-97DC-4DB5-97AB-3C20E4CBA83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B189-483B-AC65-BA0670402B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3CEA430-D054-45CD-8E13-BC96731F4D3D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FCA5B81-DE07-4982-9966-74EC49A88273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5-B189-483B-AC65-BA0670402B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6597234-1958-42E0-8F2A-C2B7385B5904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502338CD-3FFE-44AA-B640-72206BA7F675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6-B189-483B-AC65-BA0670402B1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07E795-78C3-4268-8041-FFC36209A90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AD563435-25B5-4678-AE27-0BFF97330B9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B189-483B-AC65-BA0670402B1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2B032E4-B94E-4198-B277-ECF4469AF592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BCF913CD-6F51-44CE-B9A7-016D5B5D796C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8-B189-483B-AC65-BA0670402B1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C0EEA69-CA87-4400-A018-9436309EA749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0550132-26FF-4306-ACE9-4EBDBCFE6FD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9-B189-483B-AC65-BA0670402B1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4186EE6-EF11-4C20-9067-1BCED3E9BBC6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71E93961-A341-41A6-B147-59DFF3D1E92C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A-B189-483B-AC65-BA0670402B1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404B462-466D-4243-BFAD-05D50FF59DD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66AA03E7-4599-4895-8F1F-6DBBE8525D5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B189-483B-AC65-BA0670402B1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9A27E0E-F0EC-4F3C-9FB2-D63A8339EAC8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08B6D2EB-5041-4F95-8B4B-ABE17F58EEA2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B189-483B-AC65-BA0670402B1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61A80C-CFF5-4C6C-A584-53162735AFBD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5BFC995D-D594-4E52-83D8-FA421FEBF7DC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B189-483B-AC65-BA0670402B1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92064E6-3418-43FA-AA3F-4F0910E3B80F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96BA0A98-6E36-41DA-B581-27A890196A25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B189-483B-AC65-BA0670402B1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00D323A-477A-4A82-BCD3-7394D83375C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33559727-A7CA-4AB5-93F4-18B6854A35EB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B189-483B-AC65-BA0670402B1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5C56087-86BA-4E1C-9412-2FE4758A1D7B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F73A67E7-DD3E-444C-81B5-B9641E3E5859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0-B189-483B-AC65-BA0670402B1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084E023-192D-4089-8242-240F8FD5A8EE}" type="CELLRANGE">
                      <a:rPr lang="en-US"/>
                      <a:pPr/>
                      <a:t>[PLAGECELL]</a:t>
                    </a:fld>
                    <a:endParaRPr lang="en-US" baseline="0"/>
                  </a:p>
                  <a:p>
                    <a:fld id="{10D4A333-78B6-4115-9D6B-E217135A3DF8}" type="YVALUE">
                      <a:rPr lang="en-US"/>
                      <a:pPr/>
                      <a:t>[VALEUR Y]</a:t>
                    </a:fld>
                    <a:endParaRPr lang="fr-FR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B189-483B-AC65-BA0670402B1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D6E96A6-4B19-467B-BB3C-E87EF2E6934B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8E196069-4F3A-4FCF-A9DF-8D8D76FA4B0E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392-402D-85F7-EC9659755B2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4582CAB-3CCE-47C6-A2FD-2475F1A95462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34986873-15EB-4779-9435-5058C0DA385E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EC3-49CC-9075-6C61F9955C8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0F2425F-EC98-4306-A95B-851C71A94EC1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A0FDC1C-07E2-486E-9192-17D9593B12EA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1AA-4783-B22A-77896219668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543ED4A-CE40-456F-8447-C2C6ACF66DD4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9813A446-F17F-42B5-B72B-517BC0B3A389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31C-4C7A-9285-82D897B34DA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DA1F2513-A82E-49BB-95F4-989CFD0ED298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29F9ABA5-F0D3-4B7D-A76B-ABA01E642262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4DE-4156-8FF4-3CE16F65E50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DD95228D-0760-4085-A399-9BBE94E32ABE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0E6E56AA-2B98-4682-9ABF-405E88E3A6C6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2C6-4255-BC4D-7790CC0CA740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D564148C-7103-4D84-8BC9-84C2B007BB93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531DAB11-F43F-4787-8CFD-5CB499DD4182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57-4440-889D-809E0331BA1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2C8B7E3-0F18-4169-B8AA-317CECFF2A79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D4FEC5E4-172C-458F-B97C-3920401ABB32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D1C-42A5-8126-AFFE48FB7A0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8087C369-8CC0-45F7-A83F-FB8A70E8FEE6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6E12C1B1-91BA-4DAD-AFD1-B76D63066BD7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C93-40FD-86D7-4D6F82003D7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56C3AA95-6E8F-47C8-8262-8DACED69C74E}" type="CELLRANGE">
                      <a:rPr lang="en-US"/>
                      <a:pPr/>
                      <a:t>[PLAGECELL]</a:t>
                    </a:fld>
                    <a:r>
                      <a:rPr lang="en-US" baseline="0"/>
                      <a:t>
</a:t>
                    </a:r>
                    <a:fld id="{C4143D8B-337A-4B19-84E8-297DF129B8EA}" type="YVALUE">
                      <a:rPr lang="en-US" baseline="0"/>
                      <a:pPr/>
                      <a:t>[VALEUR Y]</a:t>
                    </a:fld>
                    <a:endParaRPr lang="en-US" baseline="0"/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BF9-43BC-824F-9BC95BCD36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FHMRI!$B$2:$B$36</c:f>
              <c:numCache>
                <c:formatCode>m/d/yyyy</c:formatCode>
                <c:ptCount val="35"/>
                <c:pt idx="0">
                  <c:v>45036</c:v>
                </c:pt>
                <c:pt idx="1">
                  <c:v>45064</c:v>
                </c:pt>
                <c:pt idx="2">
                  <c:v>45092</c:v>
                </c:pt>
                <c:pt idx="3">
                  <c:v>45120</c:v>
                </c:pt>
                <c:pt idx="4">
                  <c:v>45148</c:v>
                </c:pt>
                <c:pt idx="5">
                  <c:v>45176</c:v>
                </c:pt>
                <c:pt idx="6">
                  <c:v>45204</c:v>
                </c:pt>
                <c:pt idx="7">
                  <c:v>45232</c:v>
                </c:pt>
                <c:pt idx="8">
                  <c:v>45260</c:v>
                </c:pt>
                <c:pt idx="9">
                  <c:v>45288</c:v>
                </c:pt>
                <c:pt idx="10">
                  <c:v>45316</c:v>
                </c:pt>
                <c:pt idx="11">
                  <c:v>45344</c:v>
                </c:pt>
                <c:pt idx="12">
                  <c:v>45372</c:v>
                </c:pt>
                <c:pt idx="13">
                  <c:v>45400</c:v>
                </c:pt>
                <c:pt idx="14">
                  <c:v>45428</c:v>
                </c:pt>
                <c:pt idx="15">
                  <c:v>45456</c:v>
                </c:pt>
                <c:pt idx="16">
                  <c:v>45484</c:v>
                </c:pt>
                <c:pt idx="17">
                  <c:v>45512</c:v>
                </c:pt>
                <c:pt idx="18">
                  <c:v>45540</c:v>
                </c:pt>
                <c:pt idx="19">
                  <c:v>45568</c:v>
                </c:pt>
                <c:pt idx="20">
                  <c:v>45596</c:v>
                </c:pt>
                <c:pt idx="21">
                  <c:v>45624</c:v>
                </c:pt>
                <c:pt idx="22">
                  <c:v>45652</c:v>
                </c:pt>
                <c:pt idx="23">
                  <c:v>45680</c:v>
                </c:pt>
                <c:pt idx="24">
                  <c:v>45708</c:v>
                </c:pt>
                <c:pt idx="25">
                  <c:v>45736</c:v>
                </c:pt>
                <c:pt idx="26" formatCode="dd/mm/yy">
                  <c:v>45764</c:v>
                </c:pt>
                <c:pt idx="27" formatCode="dd/mm/yy">
                  <c:v>45792</c:v>
                </c:pt>
                <c:pt idx="28" formatCode="dd/mm/yy">
                  <c:v>45820</c:v>
                </c:pt>
                <c:pt idx="29" formatCode="dd/mm/yy">
                  <c:v>45848</c:v>
                </c:pt>
                <c:pt idx="30" formatCode="dd/mm/yy">
                  <c:v>45876</c:v>
                </c:pt>
                <c:pt idx="31" formatCode="dd/mm/yy">
                  <c:v>45904</c:v>
                </c:pt>
                <c:pt idx="32" formatCode="dd/mm/yy">
                  <c:v>45929</c:v>
                </c:pt>
                <c:pt idx="33" formatCode="dd/mm/yy">
                  <c:v>45960</c:v>
                </c:pt>
                <c:pt idx="34" formatCode="dd/mm/yy">
                  <c:v>45988</c:v>
                </c:pt>
              </c:numCache>
            </c:numRef>
          </c:xVal>
          <c:yVal>
            <c:numRef>
              <c:f>FHMRI!$M$2:$M$36</c:f>
              <c:numCache>
                <c:formatCode>General</c:formatCode>
                <c:ptCount val="35"/>
                <c:pt idx="0">
                  <c:v>1.2000000000000002</c:v>
                </c:pt>
                <c:pt idx="1">
                  <c:v>1.2000000000000002</c:v>
                </c:pt>
                <c:pt idx="2">
                  <c:v>1</c:v>
                </c:pt>
                <c:pt idx="3">
                  <c:v>1</c:v>
                </c:pt>
                <c:pt idx="4">
                  <c:v>0.79999999999999993</c:v>
                </c:pt>
                <c:pt idx="5">
                  <c:v>0.7</c:v>
                </c:pt>
                <c:pt idx="6">
                  <c:v>0.79999999999999993</c:v>
                </c:pt>
                <c:pt idx="7">
                  <c:v>0.30000000000000004</c:v>
                </c:pt>
                <c:pt idx="8">
                  <c:v>0.2</c:v>
                </c:pt>
                <c:pt idx="9">
                  <c:v>0.4</c:v>
                </c:pt>
                <c:pt idx="10">
                  <c:v>0.6</c:v>
                </c:pt>
                <c:pt idx="11">
                  <c:v>0.4</c:v>
                </c:pt>
                <c:pt idx="12">
                  <c:v>0.5</c:v>
                </c:pt>
                <c:pt idx="13">
                  <c:v>0.6</c:v>
                </c:pt>
                <c:pt idx="14">
                  <c:v>0.5</c:v>
                </c:pt>
                <c:pt idx="15">
                  <c:v>0.6</c:v>
                </c:pt>
                <c:pt idx="16">
                  <c:v>0.7</c:v>
                </c:pt>
                <c:pt idx="17">
                  <c:v>0.30000000000000004</c:v>
                </c:pt>
                <c:pt idx="18">
                  <c:v>-0.2</c:v>
                </c:pt>
                <c:pt idx="19">
                  <c:v>1.3</c:v>
                </c:pt>
                <c:pt idx="20">
                  <c:v>0.2</c:v>
                </c:pt>
                <c:pt idx="21">
                  <c:v>0</c:v>
                </c:pt>
                <c:pt idx="22">
                  <c:v>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-0.1</c:v>
                </c:pt>
                <c:pt idx="27">
                  <c:v>0.2</c:v>
                </c:pt>
                <c:pt idx="28">
                  <c:v>0.1</c:v>
                </c:pt>
                <c:pt idx="29">
                  <c:v>0.1</c:v>
                </c:pt>
                <c:pt idx="30" formatCode="0.000">
                  <c:v>0</c:v>
                </c:pt>
                <c:pt idx="31">
                  <c:v>-0.1</c:v>
                </c:pt>
                <c:pt idx="32">
                  <c:v>-0.1</c:v>
                </c:pt>
                <c:pt idx="33">
                  <c:v>0.1</c:v>
                </c:pt>
                <c:pt idx="34">
                  <c:v>0.1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FHMRI!$A$2:$A$36</c15:f>
                <c15:dlblRangeCache>
                  <c:ptCount val="35"/>
                  <c:pt idx="0">
                    <c:v>2304</c:v>
                  </c:pt>
                  <c:pt idx="1">
                    <c:v>2305</c:v>
                  </c:pt>
                  <c:pt idx="2">
                    <c:v>2306</c:v>
                  </c:pt>
                  <c:pt idx="3">
                    <c:v>2307</c:v>
                  </c:pt>
                  <c:pt idx="4">
                    <c:v>2308</c:v>
                  </c:pt>
                  <c:pt idx="5">
                    <c:v>2309</c:v>
                  </c:pt>
                  <c:pt idx="6">
                    <c:v>2310</c:v>
                  </c:pt>
                  <c:pt idx="7">
                    <c:v>2311</c:v>
                  </c:pt>
                  <c:pt idx="8">
                    <c:v>2312</c:v>
                  </c:pt>
                  <c:pt idx="9">
                    <c:v>2313</c:v>
                  </c:pt>
                  <c:pt idx="10">
                    <c:v>2401</c:v>
                  </c:pt>
                  <c:pt idx="11">
                    <c:v>2402</c:v>
                  </c:pt>
                  <c:pt idx="12">
                    <c:v>2403</c:v>
                  </c:pt>
                  <c:pt idx="13">
                    <c:v>2404</c:v>
                  </c:pt>
                  <c:pt idx="14">
                    <c:v>2405</c:v>
                  </c:pt>
                  <c:pt idx="15">
                    <c:v>2406</c:v>
                  </c:pt>
                  <c:pt idx="16">
                    <c:v>2407</c:v>
                  </c:pt>
                  <c:pt idx="17">
                    <c:v>2408</c:v>
                  </c:pt>
                  <c:pt idx="18">
                    <c:v>2409</c:v>
                  </c:pt>
                  <c:pt idx="19">
                    <c:v>2410</c:v>
                  </c:pt>
                  <c:pt idx="20">
                    <c:v>2411</c:v>
                  </c:pt>
                  <c:pt idx="21">
                    <c:v>2412</c:v>
                  </c:pt>
                  <c:pt idx="22">
                    <c:v>2413</c:v>
                  </c:pt>
                  <c:pt idx="23">
                    <c:v>2501</c:v>
                  </c:pt>
                  <c:pt idx="24">
                    <c:v>2502</c:v>
                  </c:pt>
                  <c:pt idx="25">
                    <c:v>2503</c:v>
                  </c:pt>
                  <c:pt idx="26">
                    <c:v>2504</c:v>
                  </c:pt>
                  <c:pt idx="27">
                    <c:v>2505</c:v>
                  </c:pt>
                  <c:pt idx="28">
                    <c:v>2506</c:v>
                  </c:pt>
                  <c:pt idx="29">
                    <c:v>2507</c:v>
                  </c:pt>
                  <c:pt idx="30">
                    <c:v>2508</c:v>
                  </c:pt>
                  <c:pt idx="31">
                    <c:v>2509</c:v>
                  </c:pt>
                  <c:pt idx="32">
                    <c:v>2510</c:v>
                  </c:pt>
                  <c:pt idx="33">
                    <c:v>2511</c:v>
                  </c:pt>
                  <c:pt idx="34">
                    <c:v>2512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B189-483B-AC65-BA0670402B1B}"/>
            </c:ext>
          </c:extLst>
        </c:ser>
        <c:ser>
          <c:idx val="2"/>
          <c:order val="2"/>
          <c:tx>
            <c:strRef>
              <c:f>FHMRI!$L$1</c:f>
              <c:strCache>
                <c:ptCount val="1"/>
                <c:pt idx="0">
                  <c:v>FMS Perf Factor</c:v>
                </c:pt>
              </c:strCache>
            </c:strRef>
          </c:tx>
          <c:spPr>
            <a:ln w="2540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solidFill>
                  <a:schemeClr val="accent2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FHMRI!$B$2:$B$36</c:f>
              <c:numCache>
                <c:formatCode>m/d/yyyy</c:formatCode>
                <c:ptCount val="35"/>
                <c:pt idx="0">
                  <c:v>45036</c:v>
                </c:pt>
                <c:pt idx="1">
                  <c:v>45064</c:v>
                </c:pt>
                <c:pt idx="2">
                  <c:v>45092</c:v>
                </c:pt>
                <c:pt idx="3">
                  <c:v>45120</c:v>
                </c:pt>
                <c:pt idx="4">
                  <c:v>45148</c:v>
                </c:pt>
                <c:pt idx="5">
                  <c:v>45176</c:v>
                </c:pt>
                <c:pt idx="6">
                  <c:v>45204</c:v>
                </c:pt>
                <c:pt idx="7">
                  <c:v>45232</c:v>
                </c:pt>
                <c:pt idx="8">
                  <c:v>45260</c:v>
                </c:pt>
                <c:pt idx="9">
                  <c:v>45288</c:v>
                </c:pt>
                <c:pt idx="10">
                  <c:v>45316</c:v>
                </c:pt>
                <c:pt idx="11">
                  <c:v>45344</c:v>
                </c:pt>
                <c:pt idx="12">
                  <c:v>45372</c:v>
                </c:pt>
                <c:pt idx="13">
                  <c:v>45400</c:v>
                </c:pt>
                <c:pt idx="14">
                  <c:v>45428</c:v>
                </c:pt>
                <c:pt idx="15">
                  <c:v>45456</c:v>
                </c:pt>
                <c:pt idx="16">
                  <c:v>45484</c:v>
                </c:pt>
                <c:pt idx="17">
                  <c:v>45512</c:v>
                </c:pt>
                <c:pt idx="18">
                  <c:v>45540</c:v>
                </c:pt>
                <c:pt idx="19">
                  <c:v>45568</c:v>
                </c:pt>
                <c:pt idx="20">
                  <c:v>45596</c:v>
                </c:pt>
                <c:pt idx="21">
                  <c:v>45624</c:v>
                </c:pt>
                <c:pt idx="22">
                  <c:v>45652</c:v>
                </c:pt>
                <c:pt idx="23">
                  <c:v>45680</c:v>
                </c:pt>
                <c:pt idx="24">
                  <c:v>45708</c:v>
                </c:pt>
                <c:pt idx="25">
                  <c:v>45736</c:v>
                </c:pt>
                <c:pt idx="26" formatCode="dd/mm/yy">
                  <c:v>45764</c:v>
                </c:pt>
                <c:pt idx="27" formatCode="dd/mm/yy">
                  <c:v>45792</c:v>
                </c:pt>
                <c:pt idx="28" formatCode="dd/mm/yy">
                  <c:v>45820</c:v>
                </c:pt>
                <c:pt idx="29" formatCode="dd/mm/yy">
                  <c:v>45848</c:v>
                </c:pt>
                <c:pt idx="30" formatCode="dd/mm/yy">
                  <c:v>45876</c:v>
                </c:pt>
                <c:pt idx="31" formatCode="dd/mm/yy">
                  <c:v>45904</c:v>
                </c:pt>
                <c:pt idx="32" formatCode="dd/mm/yy">
                  <c:v>45929</c:v>
                </c:pt>
                <c:pt idx="33" formatCode="dd/mm/yy">
                  <c:v>45960</c:v>
                </c:pt>
                <c:pt idx="34" formatCode="dd/mm/yy">
                  <c:v>45988</c:v>
                </c:pt>
              </c:numCache>
            </c:numRef>
          </c:xVal>
          <c:yVal>
            <c:numRef>
              <c:f>FHMRI!$L$2:$L$36</c:f>
              <c:numCache>
                <c:formatCode>General</c:formatCode>
                <c:ptCount val="35"/>
                <c:pt idx="0">
                  <c:v>-0.9</c:v>
                </c:pt>
                <c:pt idx="1">
                  <c:v>-0.9</c:v>
                </c:pt>
                <c:pt idx="2">
                  <c:v>-1</c:v>
                </c:pt>
                <c:pt idx="3">
                  <c:v>-1</c:v>
                </c:pt>
                <c:pt idx="4">
                  <c:v>-1.2</c:v>
                </c:pt>
                <c:pt idx="5">
                  <c:v>-1.4</c:v>
                </c:pt>
                <c:pt idx="6">
                  <c:v>-1.2</c:v>
                </c:pt>
                <c:pt idx="7">
                  <c:v>-1.7</c:v>
                </c:pt>
                <c:pt idx="8">
                  <c:v>-1.8</c:v>
                </c:pt>
                <c:pt idx="9">
                  <c:v>-1.6</c:v>
                </c:pt>
                <c:pt idx="10">
                  <c:v>-1.4</c:v>
                </c:pt>
                <c:pt idx="11">
                  <c:v>-1.6</c:v>
                </c:pt>
                <c:pt idx="12">
                  <c:v>-1.5</c:v>
                </c:pt>
                <c:pt idx="13">
                  <c:v>-1.4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-1.8</c:v>
                </c:pt>
                <c:pt idx="18">
                  <c:v>-2.2000000000000002</c:v>
                </c:pt>
                <c:pt idx="19">
                  <c:v>-0.7</c:v>
                </c:pt>
                <c:pt idx="20">
                  <c:v>-1.8</c:v>
                </c:pt>
                <c:pt idx="21">
                  <c:v>-2</c:v>
                </c:pt>
                <c:pt idx="22">
                  <c:v>-1.8</c:v>
                </c:pt>
                <c:pt idx="23">
                  <c:v>-2.2000000000000002</c:v>
                </c:pt>
                <c:pt idx="24">
                  <c:v>-2.2000000000000002</c:v>
                </c:pt>
                <c:pt idx="25">
                  <c:v>-2.2000000000000002</c:v>
                </c:pt>
                <c:pt idx="26">
                  <c:v>-2.1</c:v>
                </c:pt>
                <c:pt idx="27">
                  <c:v>-1.8</c:v>
                </c:pt>
                <c:pt idx="28">
                  <c:v>-1.9</c:v>
                </c:pt>
                <c:pt idx="29">
                  <c:v>-1.9</c:v>
                </c:pt>
                <c:pt idx="30">
                  <c:v>-2</c:v>
                </c:pt>
                <c:pt idx="31">
                  <c:v>-2.1</c:v>
                </c:pt>
                <c:pt idx="32">
                  <c:v>-2.2000000000000002</c:v>
                </c:pt>
                <c:pt idx="33">
                  <c:v>-1.9</c:v>
                </c:pt>
                <c:pt idx="34">
                  <c:v>-1.9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B189-483B-AC65-BA0670402B1B}"/>
            </c:ext>
          </c:extLst>
        </c:ser>
        <c:ser>
          <c:idx val="3"/>
          <c:order val="3"/>
          <c:tx>
            <c:strRef>
              <c:f>FHMRI!$W$1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5531873814280754E-2"/>
                  <c:y val="6.4733780690113582E-2"/>
                </c:manualLayout>
              </c:layout>
              <c:tx>
                <c:rich>
                  <a:bodyPr/>
                  <a:lstStyle/>
                  <a:p>
                    <a:fld id="{203E5043-2C66-4E5E-9735-9A96CF6A6C9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B189-483B-AC65-BA0670402B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FHMRI!$U$2</c:f>
              <c:numCache>
                <c:formatCode>m/d/yyyy</c:formatCode>
                <c:ptCount val="1"/>
                <c:pt idx="0">
                  <c:v>45988</c:v>
                </c:pt>
              </c:numCache>
            </c:numRef>
          </c:xVal>
          <c:yVal>
            <c:numRef>
              <c:f>FHMRI!$V$2</c:f>
              <c:numCache>
                <c:formatCode>0.0</c:formatCode>
                <c:ptCount val="1"/>
                <c:pt idx="0">
                  <c:v>0.1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FHMRI!$W$2</c15:f>
                <c15:dlblRangeCache>
                  <c:ptCount val="1"/>
                  <c:pt idx="0">
                    <c:v>2512, actual value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B189-483B-AC65-BA0670402B1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8941887"/>
        <c:axId val="813869712"/>
      </c:scatterChart>
      <c:valAx>
        <c:axId val="1718941887"/>
        <c:scaling>
          <c:orientation val="minMax"/>
        </c:scaling>
        <c:delete val="0"/>
        <c:axPos val="b"/>
        <c:numFmt formatCode="dd/mm/yyyy" sourceLinked="0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3869712"/>
        <c:crosses val="autoZero"/>
        <c:crossBetween val="midCat"/>
      </c:valAx>
      <c:valAx>
        <c:axId val="81386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8941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12534</xdr:colOff>
      <xdr:row>4</xdr:row>
      <xdr:rowOff>15414</xdr:rowOff>
    </xdr:from>
    <xdr:to>
      <xdr:col>30</xdr:col>
      <xdr:colOff>520138</xdr:colOff>
      <xdr:row>27</xdr:row>
      <xdr:rowOff>2465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4041CBE4-12E0-99BE-29C7-E1602844E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435409</xdr:colOff>
      <xdr:row>6</xdr:row>
      <xdr:rowOff>172304</xdr:rowOff>
    </xdr:from>
    <xdr:to>
      <xdr:col>30</xdr:col>
      <xdr:colOff>323849</xdr:colOff>
      <xdr:row>29</xdr:row>
      <xdr:rowOff>145192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B030B0-6018-4E5D-999E-4EF2BADC6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12534</xdr:colOff>
      <xdr:row>4</xdr:row>
      <xdr:rowOff>15414</xdr:rowOff>
    </xdr:from>
    <xdr:to>
      <xdr:col>30</xdr:col>
      <xdr:colOff>520138</xdr:colOff>
      <xdr:row>27</xdr:row>
      <xdr:rowOff>2465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BDED41-15A8-4DC0-9E54-674DFAB69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20818</xdr:colOff>
      <xdr:row>3</xdr:row>
      <xdr:rowOff>1684</xdr:rowOff>
    </xdr:from>
    <xdr:to>
      <xdr:col>37</xdr:col>
      <xdr:colOff>714375</xdr:colOff>
      <xdr:row>32</xdr:row>
      <xdr:rowOff>28575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E310F35-163A-9748-461F-36BE64759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CFB0F-8F51-4EA5-81E6-809FEF573D03}" name="Tableau1" displayName="Tableau1" ref="A1:G23" totalsRowShown="0" headerRowDxfId="95" dataDxfId="94">
  <autoFilter ref="A1:G23" xr:uid="{A1ECFB0F-8F51-4EA5-81E6-809FEF573D03}"/>
  <tableColumns count="7">
    <tableColumn id="1" xr3:uid="{78AD74E2-AE6F-45E4-8548-937DD04E42FD}" name="AIRAC cycle" dataDxfId="93"/>
    <tableColumn id="6" xr3:uid="{C0A0BD9B-9730-4432-92CA-08E3DAC6F1A9}" name="Date" dataDxfId="92"/>
    <tableColumn id="3" xr3:uid="{E74B25DB-9BAD-40D4-9453-A8840FAA3C14}" name="%THRST REQD" dataDxfId="91"/>
    <tableColumn id="4" xr3:uid="{898F20E9-B5A7-4A6C-AFA2-14D6D619C09F}" name="%FUEL FLOW" dataDxfId="90"/>
    <tableColumn id="5" xr3:uid="{754E42AA-A725-4000-AAD3-DBBD55107315}" name="Fuel Flow factor = -(%FM)" dataDxfId="89"/>
    <tableColumn id="8" xr3:uid="{A7482C97-E91B-41A1-9395-B64E7D94C0CA}" name="Update ?" dataDxfId="88"/>
    <tableColumn id="2" xr3:uid="{D28146AF-8D43-44D6-B972-8EF045A729CD}" name="Remarks" dataDxfId="8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9EAD30-F3E1-43E4-865D-D4F1E35BFD59}" name="Tableau2" displayName="Tableau2" ref="I1:K9" totalsRowShown="0" headerRowDxfId="86" dataDxfId="85">
  <autoFilter ref="I1:K9" xr:uid="{539EAD30-F3E1-43E4-865D-D4F1E35BFD59}"/>
  <tableColumns count="3">
    <tableColumn id="1" xr3:uid="{EFA6379E-9C27-461E-AE1F-F4F0F8E3BC35}" name="Date of Event" dataDxfId="84"/>
    <tableColumn id="7" xr3:uid="{ED2C6DDB-221E-4D36-9D55-DD8F5A8139E9}" name="Position Y" dataDxfId="83"/>
    <tableColumn id="2" xr3:uid="{99B9AE2E-A7C6-475B-B262-311692EEC5E6}" name="Event" dataDxfId="8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86BA02-3A66-4967-B675-B9C50236CAF2}" name="Tableau511" displayName="Tableau511" ref="M1:O2" totalsRowShown="0" headerRowDxfId="81" dataDxfId="80">
  <autoFilter ref="M1:O2" xr:uid="{3186BA02-3A66-4967-B675-B9C50236CAF2}"/>
  <tableColumns count="3">
    <tableColumn id="1" xr3:uid="{45377F21-22BF-4E36-BDB6-222C20D2A8A2}" name="Date of Actual value" dataDxfId="79"/>
    <tableColumn id="2" xr3:uid="{0B228547-7694-40BD-BB60-E0787DD2AE34}" name="Position/Value" dataDxfId="78"/>
    <tableColumn id="3" xr3:uid="{643F0073-A6AE-4360-B3A7-75A0DAE90908}" name="Actual value" dataDxfId="77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C0C4A8-7945-42A5-90CB-EFAE6E4DA485}" name="Tableau14" displayName="Tableau14" ref="A1:G31" totalsRowShown="0" headerRowDxfId="76" dataDxfId="75">
  <autoFilter ref="A1:G31" xr:uid="{A1ECFB0F-8F51-4EA5-81E6-809FEF573D03}"/>
  <tableColumns count="7">
    <tableColumn id="1" xr3:uid="{46AACDEA-68E7-4D66-A9D7-99FA4AF8086B}" name="AIRAC cycle" dataDxfId="74"/>
    <tableColumn id="6" xr3:uid="{35F795B8-0C41-4679-906A-2B063E557827}" name="Date" dataDxfId="73"/>
    <tableColumn id="3" xr3:uid="{6AAB71DD-D70B-4826-97A5-8E55700D0596}" name="%THRST REQD" dataDxfId="72"/>
    <tableColumn id="4" xr3:uid="{6E91DD59-8D45-4854-BB48-F6007218921D}" name="%FUEL FLOW" dataDxfId="71"/>
    <tableColumn id="5" xr3:uid="{E0ECB131-4970-4075-98A0-3263F9564155}" name="Fuel Flow Factor = -(%FM)" dataDxfId="70"/>
    <tableColumn id="8" xr3:uid="{BF62F98F-B6A9-43F6-902F-5578D900EE79}" name="Update ?" dataDxfId="69"/>
    <tableColumn id="2" xr3:uid="{2B856A71-D19C-4993-B3A0-03C65B941A53}" name="Remarks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918FB5-EC16-413B-BE55-175689CA5BE5}" name="Tableau25" displayName="Tableau25" ref="I1:K16" totalsRowShown="0" headerRowDxfId="67" dataDxfId="66">
  <autoFilter ref="I1:K16" xr:uid="{539EAD30-F3E1-43E4-865D-D4F1E35BFD59}"/>
  <tableColumns count="3">
    <tableColumn id="1" xr3:uid="{0717F144-8409-4D4F-9109-11DD1DCFE063}" name="Date of Event" dataDxfId="65"/>
    <tableColumn id="7" xr3:uid="{04D31946-C1D5-421E-B6A3-2EEF0A706F95}" name="Position Y" dataDxfId="64"/>
    <tableColumn id="2" xr3:uid="{6BA63732-AFD9-487D-B720-E9241DF47350}" name="Event" dataDxfId="6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4A1A5-9882-4555-B72A-0491BB7836C1}" name="Tableau5" displayName="Tableau5" ref="M1:O2" totalsRowShown="0" headerRowDxfId="62" dataDxfId="61">
  <autoFilter ref="M1:O2" xr:uid="{C114A1A5-9882-4555-B72A-0491BB7836C1}"/>
  <tableColumns count="3">
    <tableColumn id="1" xr3:uid="{2A371F0A-45F3-437F-AEA4-29FBD059BCAC}" name="Date of Actual value" dataDxfId="60"/>
    <tableColumn id="2" xr3:uid="{9F260D3B-8E33-47C2-B0C9-40ADC3E09C02}" name="Position/Value" dataDxfId="59"/>
    <tableColumn id="3" xr3:uid="{B43CE41E-C041-4B92-9080-6AF972DD0627}" name="Actual value" dataDxfId="58"/>
  </tableColumns>
  <tableStyleInfo name="TableStyleDark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2C714F-3F01-43E4-8558-479BF49679CA}" name="Tableau112" displayName="Tableau112" ref="A1:G18" totalsRowShown="0" headerRowDxfId="57" dataDxfId="56">
  <autoFilter ref="A1:G18" xr:uid="{3D2C714F-3F01-43E4-8558-479BF49679CA}"/>
  <tableColumns count="7">
    <tableColumn id="1" xr3:uid="{018C984D-9CE2-4FA0-864C-698783FC0901}" name="AIRAC cycle" dataDxfId="55"/>
    <tableColumn id="6" xr3:uid="{A86C2CCD-8893-4E82-9A89-2670073F77F7}" name="Date" dataDxfId="54"/>
    <tableColumn id="3" xr3:uid="{66A16E76-EAA3-45B4-97F5-2076A668ABA4}" name="%THRST REQD" dataDxfId="53"/>
    <tableColumn id="4" xr3:uid="{9C811722-A3DB-449B-B947-A78437135474}" name="%FUEL FLOW" dataDxfId="52"/>
    <tableColumn id="5" xr3:uid="{F350E337-102F-4595-BD7A-AEF07ECC4B55}" name="Fuel Flow factor = -(%FM)" dataDxfId="51"/>
    <tableColumn id="8" xr3:uid="{2EF963A9-F496-4161-B2D6-5EC8F5B39F95}" name="Update ?" dataDxfId="50"/>
    <tableColumn id="2" xr3:uid="{45A14F35-3635-4817-B339-514543F0E802}" name="Remarks" dataDxfId="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673A4D-43F1-4DC0-A432-55C754EF373D}" name="Tableau213" displayName="Tableau213" ref="I1:K9" totalsRowShown="0" headerRowDxfId="48" dataDxfId="47">
  <autoFilter ref="I1:K9" xr:uid="{A1673A4D-43F1-4DC0-A432-55C754EF373D}"/>
  <tableColumns count="3">
    <tableColumn id="1" xr3:uid="{C82E42CA-DCBE-4728-AC6E-C876537F0D1E}" name="Date of Event" dataDxfId="46"/>
    <tableColumn id="7" xr3:uid="{6D58C7A6-5F16-4B5F-BC2A-DEC4C5016597}" name="Position Y" dataDxfId="45"/>
    <tableColumn id="2" xr3:uid="{071B3146-7394-46A2-9231-35FA79C592EE}" name="Event" dataDxfId="44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5AB26CC-D471-4690-933B-4B14A368564F}" name="Tableau51114" displayName="Tableau51114" ref="M1:O2" totalsRowShown="0" headerRowDxfId="43" dataDxfId="42">
  <autoFilter ref="M1:O2" xr:uid="{95AB26CC-D471-4690-933B-4B14A368564F}"/>
  <tableColumns count="3">
    <tableColumn id="1" xr3:uid="{79E9C4D6-4B17-4FF8-84A1-F7B29820B27D}" name="Date of Actual value" dataDxfId="41"/>
    <tableColumn id="2" xr3:uid="{AF8606CF-EAF5-437C-BCAB-ECAC3B63759A}" name="Position/Value" dataDxfId="40"/>
    <tableColumn id="3" xr3:uid="{EA4F7A98-2337-437E-96F3-47EBDC4373F2}" name="Actual value" dataDxfId="39"/>
  </tableColumns>
  <tableStyleInfo name="TableStyleDark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9709C0-E9F2-4E48-8D68-37DA012D2C39}" name="Tableau6" displayName="Tableau6" ref="A1:O36" totalsRowShown="0" headerRowDxfId="38" dataDxfId="37">
  <autoFilter ref="A1:O36" xr:uid="{AD9709C0-E9F2-4E48-8D68-37DA012D2C39}"/>
  <tableColumns count="15">
    <tableColumn id="1" xr3:uid="{9BBE8014-BA67-47C7-8287-A7EB1843A403}" name="Airac Cycle" dataDxfId="36"/>
    <tableColumn id="2" xr3:uid="{EA73BC20-26C1-470A-BFE3-E5D48BCD2659}" name="Date" dataDxfId="35"/>
    <tableColumn id="3" xr3:uid="{C8378CA4-E29D-4E18-84A7-85A8BBC5696B}" name="DSR 18590" dataDxfId="34"/>
    <tableColumn id="4" xr3:uid="{1DD472A0-1791-4475-BDAC-C9AE3264A3D6}" name="SD 18590" dataDxfId="33"/>
    <tableColumn id="5" xr3:uid="{06D0E40F-BB87-4F96-A722-1C68A6C84ABF}" name="DSR 18400 " dataDxfId="32"/>
    <tableColumn id="6" xr3:uid="{C83BBD3D-396D-4A6D-975C-D38FDC66D076}" name="SD 18400" dataDxfId="31"/>
    <tableColumn id="7" xr3:uid="{D5B402B5-97C0-4B99-9DCD-7B79455271FB}" name="NR" dataDxfId="30"/>
    <tableColumn id="8" xr3:uid="{B549883E-910D-47D1-AEA2-F9748FA5D5B1}" name="Monitored Perf Factor 18590" dataDxfId="29">
      <calculatedColumnFormula>IF(C2="","",-C2)</calculatedColumnFormula>
    </tableColumn>
    <tableColumn id="9" xr3:uid="{9C857F18-5662-43AA-A364-8804E592A6BA}" name="Monitored Perf Factor 18590 Rounded" dataDxfId="28">
      <calculatedColumnFormula>IF(H2="","",IF(H2&lt;0,TRUNC(IF(H2="","",H2),1),ROUNDUP(IF(H2="","",H2),1)))</calculatedColumnFormula>
    </tableColumn>
    <tableColumn id="10" xr3:uid="{C7BBF0A4-C0AB-4BE0-A9D6-BB9B259C0E0D}" name="Monitored Perf Factor 18400" dataDxfId="27">
      <calculatedColumnFormula>IF(E2="","",-E2)</calculatedColumnFormula>
    </tableColumn>
    <tableColumn id="11" xr3:uid="{9D0E41DD-2560-4BAF-9782-364BECA8CF5C}" name="Monitored Perf Factor 18400 Rounded" dataDxfId="26">
      <calculatedColumnFormula>IF(J2="","",IF(J2&lt;0,TRUNC(IF(J2="","",J2),1),ROUNDUP(IF(J2="","",J2),1)))</calculatedColumnFormula>
    </tableColumn>
    <tableColumn id="14" xr3:uid="{793130CA-A12C-42C3-8D1C-7A02F7BF7049}" name="FMS Perf Factor" dataDxfId="25">
      <calculatedColumnFormula>IF(K2="","",Constants!$A$3+K2)</calculatedColumnFormula>
    </tableColumn>
    <tableColumn id="13" xr3:uid="{C64623D5-7482-437E-AB6C-CEA604ED7B35}" name="OFP Perf Factor" dataDxfId="24">
      <calculatedColumnFormula>IF(I2="","",I2)</calculatedColumnFormula>
    </tableColumn>
    <tableColumn id="12" xr3:uid="{736DE4A6-252E-4BFF-A617-6E57A6B76326}" name="Update ?" dataDxfId="23"/>
    <tableColumn id="16" xr3:uid="{761E631D-A876-4153-B3E3-462485338B9C}" name="Remarks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85DE16-E4F7-4A29-BAF5-3857238CACFF}" name="Tableau8" displayName="Tableau8" ref="Q1:S16" totalsRowShown="0" headerRowDxfId="21" dataDxfId="20">
  <autoFilter ref="Q1:S16" xr:uid="{1485DE16-E4F7-4A29-BAF5-3857238CACFF}"/>
  <tableColumns count="3">
    <tableColumn id="1" xr3:uid="{EFE4C7AA-B1BD-4D8B-ACBC-4BEA55DD426B}" name="Date of Event" dataDxfId="19"/>
    <tableColumn id="2" xr3:uid="{C5084D1F-C115-4990-8715-7BC83DB5F42B}" name="Position Y" dataDxfId="18"/>
    <tableColumn id="3" xr3:uid="{6DD202EE-C1F2-4FFC-A2CC-1F464103A4FF}" name="Event" dataDxfId="17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A9659B-6481-4775-B0B6-0DED5DED8CAD}" name="Tableau510" displayName="Tableau510" ref="U1:W2" totalsRowShown="0" headerRowDxfId="16" dataDxfId="15">
  <autoFilter ref="U1:W2" xr:uid="{D2A9659B-6481-4775-B0B6-0DED5DED8CAD}"/>
  <tableColumns count="3">
    <tableColumn id="1" xr3:uid="{6E356908-1BD2-4C62-B3A7-1D364A3B3C93}" name="Date of Actual value" dataDxfId="14"/>
    <tableColumn id="2" xr3:uid="{82ACD6FC-AAE5-449C-9D53-E3A4CB65FB05}" name="Position/Value" dataDxfId="13"/>
    <tableColumn id="3" xr3:uid="{9BA64CA7-011C-4748-BCC4-54012D672784}" name="Actual value" dataDxfId="12"/>
  </tableColumns>
  <tableStyleInfo name="TableStyleDark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01829A-DB16-4B66-BF45-2C35673ED039}" name="Tableau7" displayName="Tableau7" ref="A1:H12" totalsRowShown="0">
  <autoFilter ref="A1:H12" xr:uid="{1E01829A-DB16-4B66-BF45-2C35673ED039}"/>
  <tableColumns count="8">
    <tableColumn id="1" xr3:uid="{630D190C-45B1-4C47-9295-5609711F5826}" name="Aircraft"/>
    <tableColumn id="2" xr3:uid="{EE2A3E55-8B19-443E-9772-06A378F26027}" name="Engine"/>
    <tableColumn id="3" xr3:uid="{FB59637D-CB3C-4B6D-A3A7-DF80DD92B68D}" name="Engine wash cycles (in FC - Flight Cycles)"/>
    <tableColumn id="8" xr3:uid="{A8B7B888-7525-4C87-8B9A-0A829B25D68A}" name="SN"/>
    <tableColumn id="4" xr3:uid="{37C7A0CF-CFED-4081-A82D-EF78776F2CFA}" name="Days installed"/>
    <tableColumn id="7" xr3:uid="{F445061A-ACF0-439A-B8C5-542337BED2D1}" name="Years installed2" dataDxfId="11">
      <calculatedColumnFormula>Tableau7[[#This Row],[Days installed]]/365</calculatedColumnFormula>
    </tableColumn>
    <tableColumn id="6" xr3:uid="{0AF9D07A-17E0-4502-84B4-72AEA35F9310}" name="Flight hours"/>
    <tableColumn id="5" xr3:uid="{9778C26D-0B9B-4DDD-8619-85D9073F62D2}" name="Landing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960E-E989-4A89-851E-C83626FCBBCE}">
  <dimension ref="A1:D12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26.85546875" bestFit="1" customWidth="1"/>
    <col min="2" max="2" width="18" bestFit="1" customWidth="1"/>
    <col min="3" max="3" width="28.140625" bestFit="1" customWidth="1"/>
    <col min="4" max="4" width="15.140625" customWidth="1"/>
  </cols>
  <sheetData>
    <row r="1" spans="1:4" ht="26.25" x14ac:dyDescent="0.25">
      <c r="A1" s="26" t="s">
        <v>0</v>
      </c>
      <c r="B1" s="25"/>
      <c r="C1" s="25"/>
      <c r="D1" s="25"/>
    </row>
    <row r="2" spans="1:4" x14ac:dyDescent="0.25">
      <c r="A2" s="23" t="s">
        <v>1</v>
      </c>
      <c r="B2" s="28" t="s">
        <v>2</v>
      </c>
    </row>
    <row r="3" spans="1:4" x14ac:dyDescent="0.25">
      <c r="A3" s="23" t="s">
        <v>0</v>
      </c>
      <c r="B3" s="28" t="s">
        <v>3</v>
      </c>
    </row>
    <row r="4" spans="1:4" x14ac:dyDescent="0.25">
      <c r="A4" s="23" t="s">
        <v>4</v>
      </c>
      <c r="B4" s="27">
        <v>6</v>
      </c>
    </row>
    <row r="5" spans="1:4" x14ac:dyDescent="0.25">
      <c r="A5" s="23" t="s">
        <v>5</v>
      </c>
      <c r="B5" s="24">
        <v>45729</v>
      </c>
    </row>
    <row r="8" spans="1:4" ht="26.25" x14ac:dyDescent="0.25">
      <c r="A8" s="26" t="s">
        <v>6</v>
      </c>
      <c r="B8" s="25"/>
      <c r="C8" s="25"/>
      <c r="D8" s="25"/>
    </row>
    <row r="9" spans="1:4" x14ac:dyDescent="0.25">
      <c r="A9" s="23" t="s">
        <v>7</v>
      </c>
      <c r="B9" s="23" t="s">
        <v>1</v>
      </c>
      <c r="C9" s="23" t="s">
        <v>8</v>
      </c>
      <c r="D9" s="23" t="s">
        <v>9</v>
      </c>
    </row>
    <row r="10" spans="1:4" x14ac:dyDescent="0.25">
      <c r="A10" s="23" t="s">
        <v>10</v>
      </c>
      <c r="B10" s="22" t="s">
        <v>11</v>
      </c>
      <c r="C10" s="22" t="s">
        <v>12</v>
      </c>
      <c r="D10" s="24">
        <v>45729</v>
      </c>
    </row>
    <row r="11" spans="1:4" x14ac:dyDescent="0.25">
      <c r="A11" s="23" t="s">
        <v>13</v>
      </c>
      <c r="B11" s="22" t="s">
        <v>11</v>
      </c>
      <c r="C11" s="22" t="s">
        <v>12</v>
      </c>
      <c r="D11" s="24">
        <v>45729</v>
      </c>
    </row>
    <row r="12" spans="1:4" x14ac:dyDescent="0.25">
      <c r="A12" s="23" t="s">
        <v>14</v>
      </c>
      <c r="B12" s="22" t="s">
        <v>15</v>
      </c>
      <c r="C12" s="22" t="s">
        <v>15</v>
      </c>
      <c r="D12" s="2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76A8-1E18-4FC0-A266-2280CE4A68B2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zoomScaleNormal="85" workbookViewId="0">
      <pane ySplit="1" topLeftCell="A6" activePane="bottomLeft" state="frozen"/>
      <selection pane="bottomLeft" activeCell="B24" sqref="B24"/>
    </sheetView>
  </sheetViews>
  <sheetFormatPr baseColWidth="10" defaultColWidth="8.85546875" defaultRowHeight="15" x14ac:dyDescent="0.25"/>
  <cols>
    <col min="1" max="1" width="14.85546875" style="10" bestFit="1" customWidth="1"/>
    <col min="2" max="2" width="11" style="10" bestFit="1" customWidth="1"/>
    <col min="3" max="3" width="18.42578125" style="10" bestFit="1" customWidth="1"/>
    <col min="4" max="4" width="17.140625" style="10" bestFit="1" customWidth="1"/>
    <col min="5" max="5" width="28.140625" style="10" bestFit="1" customWidth="1"/>
    <col min="6" max="6" width="14.5703125" style="10" customWidth="1"/>
    <col min="7" max="7" width="29.140625" style="10" customWidth="1"/>
    <col min="8" max="8" width="10.42578125" style="10" customWidth="1"/>
    <col min="9" max="9" width="25.85546875" style="10" customWidth="1"/>
    <col min="10" max="10" width="14.140625" style="10" bestFit="1" customWidth="1"/>
    <col min="11" max="11" width="18.140625" style="10" bestFit="1" customWidth="1"/>
    <col min="12" max="12" width="15.85546875" style="10" bestFit="1" customWidth="1"/>
    <col min="13" max="13" width="22.140625" style="10" bestFit="1" customWidth="1"/>
    <col min="14" max="14" width="8.85546875" style="10"/>
    <col min="15" max="15" width="15.85546875" style="10" bestFit="1" customWidth="1"/>
    <col min="16" max="16384" width="8.85546875" style="10"/>
  </cols>
  <sheetData>
    <row r="1" spans="1:15" x14ac:dyDescent="0.25">
      <c r="A1" s="10" t="s">
        <v>16</v>
      </c>
      <c r="B1" s="11" t="s">
        <v>9</v>
      </c>
      <c r="C1" s="10" t="s">
        <v>17</v>
      </c>
      <c r="D1" s="10" t="s">
        <v>18</v>
      </c>
      <c r="E1" s="29" t="s">
        <v>19</v>
      </c>
      <c r="F1" s="10" t="s">
        <v>20</v>
      </c>
      <c r="G1" s="10" t="s">
        <v>21</v>
      </c>
      <c r="I1" s="10" t="s">
        <v>22</v>
      </c>
      <c r="J1" s="10" t="s">
        <v>23</v>
      </c>
      <c r="K1" s="10" t="s">
        <v>24</v>
      </c>
      <c r="M1" s="10" t="s">
        <v>25</v>
      </c>
      <c r="N1" s="10" t="s">
        <v>26</v>
      </c>
      <c r="O1" s="10" t="s">
        <v>27</v>
      </c>
    </row>
    <row r="2" spans="1:15" x14ac:dyDescent="0.25">
      <c r="A2" s="1">
        <v>2309</v>
      </c>
      <c r="B2" s="3">
        <v>45176</v>
      </c>
      <c r="C2" s="4">
        <v>-1.7000000000000001E-2</v>
      </c>
      <c r="D2" s="4">
        <v>0.03</v>
      </c>
      <c r="E2" s="30">
        <v>1.4999999999999999E-2</v>
      </c>
      <c r="F2" s="33" t="s">
        <v>28</v>
      </c>
      <c r="G2" s="33" t="s">
        <v>29</v>
      </c>
      <c r="I2" s="37">
        <v>45211</v>
      </c>
      <c r="J2" s="20">
        <v>0.06</v>
      </c>
      <c r="K2" s="5" t="s">
        <v>30</v>
      </c>
      <c r="M2" s="11">
        <v>45988</v>
      </c>
      <c r="N2" s="21">
        <v>2.4E-2</v>
      </c>
      <c r="O2" s="10" t="s">
        <v>97</v>
      </c>
    </row>
    <row r="3" spans="1:15" x14ac:dyDescent="0.25">
      <c r="A3" s="1">
        <v>2310</v>
      </c>
      <c r="B3" s="3">
        <v>45204</v>
      </c>
      <c r="C3" s="4">
        <v>-1.7999999999999999E-2</v>
      </c>
      <c r="D3" s="4">
        <v>0.03</v>
      </c>
      <c r="E3" s="30">
        <v>1.4999999999999999E-2</v>
      </c>
      <c r="F3" s="33" t="s">
        <v>31</v>
      </c>
      <c r="G3" s="33" t="s">
        <v>29</v>
      </c>
      <c r="I3" s="37">
        <v>45259</v>
      </c>
      <c r="J3" s="20">
        <v>0.05</v>
      </c>
      <c r="K3" s="5" t="s">
        <v>32</v>
      </c>
    </row>
    <row r="4" spans="1:15" x14ac:dyDescent="0.25">
      <c r="A4" s="1">
        <v>2311</v>
      </c>
      <c r="B4" s="3">
        <v>45232</v>
      </c>
      <c r="C4" s="4">
        <v>-1.7999999999999999E-2</v>
      </c>
      <c r="D4" s="4">
        <v>3.1E-2</v>
      </c>
      <c r="E4" s="30">
        <v>1.6E-2</v>
      </c>
      <c r="F4" s="33" t="s">
        <v>31</v>
      </c>
      <c r="G4" s="33" t="s">
        <v>29</v>
      </c>
      <c r="I4" s="37">
        <v>45324</v>
      </c>
      <c r="J4" s="20">
        <v>0.04</v>
      </c>
      <c r="K4" s="5" t="s">
        <v>33</v>
      </c>
    </row>
    <row r="5" spans="1:15" ht="30" x14ac:dyDescent="0.25">
      <c r="A5" s="1">
        <v>2312</v>
      </c>
      <c r="B5" s="3">
        <v>45260</v>
      </c>
      <c r="C5" s="4">
        <v>-1.7000000000000001E-2</v>
      </c>
      <c r="D5" s="4">
        <v>3.2000000000000001E-2</v>
      </c>
      <c r="E5" s="30">
        <v>1.6E-2</v>
      </c>
      <c r="F5" s="33" t="s">
        <v>28</v>
      </c>
      <c r="G5" s="33"/>
      <c r="I5" s="37">
        <v>45394</v>
      </c>
      <c r="J5" s="20">
        <v>0.05</v>
      </c>
      <c r="K5" s="5" t="s">
        <v>34</v>
      </c>
    </row>
    <row r="6" spans="1:15" ht="45" x14ac:dyDescent="0.25">
      <c r="A6" s="1">
        <v>2408</v>
      </c>
      <c r="B6" s="3">
        <v>45512</v>
      </c>
      <c r="C6" s="7">
        <v>-1.9E-2</v>
      </c>
      <c r="D6" s="7">
        <v>3.2000000000000001E-2</v>
      </c>
      <c r="E6" s="31">
        <v>1.6E-2</v>
      </c>
      <c r="F6" s="33" t="s">
        <v>31</v>
      </c>
      <c r="G6" s="33"/>
      <c r="I6" s="37">
        <v>45413</v>
      </c>
      <c r="J6" s="20">
        <v>7.0000000000000007E-2</v>
      </c>
      <c r="K6" s="2" t="s">
        <v>35</v>
      </c>
    </row>
    <row r="7" spans="1:15" x14ac:dyDescent="0.25">
      <c r="A7" s="1">
        <v>2409</v>
      </c>
      <c r="B7" s="3">
        <v>45540</v>
      </c>
      <c r="C7" s="7">
        <v>-1.7999999999999999E-2</v>
      </c>
      <c r="D7" s="7">
        <v>3.2000000000000001E-2</v>
      </c>
      <c r="E7" s="31">
        <v>1.6E-2</v>
      </c>
      <c r="F7" s="33" t="s">
        <v>31</v>
      </c>
      <c r="G7" s="33"/>
      <c r="I7" s="37">
        <v>45450</v>
      </c>
      <c r="J7" s="20">
        <v>0.06</v>
      </c>
      <c r="K7" s="5" t="s">
        <v>30</v>
      </c>
    </row>
    <row r="8" spans="1:15" x14ac:dyDescent="0.25">
      <c r="A8" s="1">
        <v>2410</v>
      </c>
      <c r="B8" s="3">
        <v>45568</v>
      </c>
      <c r="C8" s="7">
        <v>-1.7999999999999999E-2</v>
      </c>
      <c r="D8" s="7">
        <v>3.2000000000000001E-2</v>
      </c>
      <c r="E8" s="31">
        <v>1.6E-2</v>
      </c>
      <c r="F8" s="33" t="s">
        <v>28</v>
      </c>
      <c r="G8" s="33"/>
      <c r="I8" s="37">
        <v>45664</v>
      </c>
      <c r="J8" s="20">
        <v>7.0000000000000007E-2</v>
      </c>
      <c r="K8" s="2" t="s">
        <v>32</v>
      </c>
    </row>
    <row r="9" spans="1:15" x14ac:dyDescent="0.25">
      <c r="A9" s="1">
        <v>2411</v>
      </c>
      <c r="B9" s="3">
        <v>45596</v>
      </c>
      <c r="C9" s="7">
        <v>-1.9E-2</v>
      </c>
      <c r="D9" s="7">
        <v>3.3000000000000002E-2</v>
      </c>
      <c r="E9" s="31">
        <v>1.7000000000000001E-2</v>
      </c>
      <c r="F9" s="33" t="s">
        <v>31</v>
      </c>
      <c r="G9" s="33"/>
      <c r="I9" s="37">
        <v>45706</v>
      </c>
      <c r="J9" s="20">
        <v>0.06</v>
      </c>
      <c r="K9" s="2" t="s">
        <v>30</v>
      </c>
    </row>
    <row r="10" spans="1:15" x14ac:dyDescent="0.25">
      <c r="A10" s="1">
        <v>2412</v>
      </c>
      <c r="B10" s="3">
        <v>45624</v>
      </c>
      <c r="C10" s="7">
        <v>-1.9E-2</v>
      </c>
      <c r="D10" s="7">
        <v>3.3000000000000002E-2</v>
      </c>
      <c r="E10" s="31">
        <v>1.7000000000000001E-2</v>
      </c>
      <c r="F10" s="33" t="s">
        <v>31</v>
      </c>
      <c r="G10" s="33"/>
    </row>
    <row r="11" spans="1:15" x14ac:dyDescent="0.25">
      <c r="A11" s="1">
        <v>2413</v>
      </c>
      <c r="B11" s="3">
        <v>45652</v>
      </c>
      <c r="C11" s="7">
        <v>-1.7999999999999999E-2</v>
      </c>
      <c r="D11" s="7">
        <v>3.5000000000000003E-2</v>
      </c>
      <c r="E11" s="31">
        <v>1.7999999999999999E-2</v>
      </c>
      <c r="F11" s="33" t="s">
        <v>28</v>
      </c>
      <c r="G11" s="33"/>
    </row>
    <row r="12" spans="1:15" x14ac:dyDescent="0.25">
      <c r="A12" s="1">
        <v>2501</v>
      </c>
      <c r="B12" s="3">
        <v>45680</v>
      </c>
      <c r="C12" s="7">
        <v>-1.7000000000000001E-2</v>
      </c>
      <c r="D12" s="7">
        <v>3.6999999999999998E-2</v>
      </c>
      <c r="E12" s="31">
        <v>0.02</v>
      </c>
      <c r="F12" s="33" t="s">
        <v>31</v>
      </c>
      <c r="G12" s="33"/>
    </row>
    <row r="13" spans="1:15" ht="45" x14ac:dyDescent="0.25">
      <c r="A13" s="1">
        <v>2502</v>
      </c>
      <c r="B13" s="3">
        <v>45708</v>
      </c>
      <c r="C13" s="7">
        <v>-1.6E-2</v>
      </c>
      <c r="D13" s="7">
        <v>4.2000000000000003E-2</v>
      </c>
      <c r="E13" s="31">
        <v>2.4E-2</v>
      </c>
      <c r="F13" s="33" t="s">
        <v>28</v>
      </c>
      <c r="G13" s="36" t="s">
        <v>36</v>
      </c>
    </row>
    <row r="14" spans="1:15" ht="75" x14ac:dyDescent="0.25">
      <c r="A14" s="1">
        <v>2503</v>
      </c>
      <c r="B14" s="12">
        <v>45736</v>
      </c>
      <c r="C14" s="33">
        <v>-1.4999999999999999E-2</v>
      </c>
      <c r="D14" s="33">
        <v>4.2000000000000003E-2</v>
      </c>
      <c r="E14" s="34">
        <v>2.5000000000000001E-2</v>
      </c>
      <c r="F14" s="33" t="s">
        <v>28</v>
      </c>
      <c r="G14" s="36" t="s">
        <v>37</v>
      </c>
    </row>
    <row r="15" spans="1:15" x14ac:dyDescent="0.25">
      <c r="A15" s="1">
        <v>2504</v>
      </c>
      <c r="B15" s="48">
        <v>45764</v>
      </c>
      <c r="C15" s="33">
        <v>-1.4999999999999999E-2</v>
      </c>
      <c r="D15" s="33">
        <v>4.1000000000000002E-2</v>
      </c>
      <c r="E15" s="34">
        <v>2.4E-2</v>
      </c>
      <c r="F15" s="33" t="s">
        <v>31</v>
      </c>
      <c r="G15" s="33"/>
    </row>
    <row r="16" spans="1:15" x14ac:dyDescent="0.25">
      <c r="A16" s="1">
        <v>2505</v>
      </c>
      <c r="B16" s="48">
        <v>45792</v>
      </c>
      <c r="C16" s="33">
        <v>-1.4E-2</v>
      </c>
      <c r="D16" s="33">
        <v>3.7999999999999999E-2</v>
      </c>
      <c r="E16" s="34">
        <v>2.1999999999999999E-2</v>
      </c>
      <c r="F16" s="33" t="s">
        <v>31</v>
      </c>
      <c r="G16" s="33"/>
    </row>
    <row r="17" spans="1:7" x14ac:dyDescent="0.25">
      <c r="A17" s="1">
        <v>2506</v>
      </c>
      <c r="B17" s="48">
        <v>45820</v>
      </c>
      <c r="C17" s="33">
        <v>-1.4E-2</v>
      </c>
      <c r="D17" s="33">
        <v>3.7999999999999999E-2</v>
      </c>
      <c r="E17" s="34">
        <v>2.1999999999999999E-2</v>
      </c>
      <c r="F17" s="33" t="s">
        <v>28</v>
      </c>
      <c r="G17" s="33"/>
    </row>
    <row r="18" spans="1:7" x14ac:dyDescent="0.25">
      <c r="A18" s="1">
        <v>2507</v>
      </c>
      <c r="B18" s="48">
        <v>45848</v>
      </c>
      <c r="C18" s="33">
        <v>-1.4E-2</v>
      </c>
      <c r="D18" s="33">
        <v>3.7999999999999999E-2</v>
      </c>
      <c r="E18" s="34">
        <v>2.1999999999999999E-2</v>
      </c>
      <c r="F18" s="33" t="s">
        <v>31</v>
      </c>
      <c r="G18" s="33"/>
    </row>
    <row r="19" spans="1:7" x14ac:dyDescent="0.25">
      <c r="A19" s="1">
        <v>2508</v>
      </c>
      <c r="B19" s="48">
        <v>45876</v>
      </c>
      <c r="C19" s="33">
        <v>-1.4E-2</v>
      </c>
      <c r="D19" s="33">
        <v>3.7999999999999999E-2</v>
      </c>
      <c r="E19" s="34">
        <v>2.1000000000000001E-2</v>
      </c>
      <c r="F19" s="33" t="s">
        <v>31</v>
      </c>
      <c r="G19" s="33"/>
    </row>
    <row r="20" spans="1:7" x14ac:dyDescent="0.25">
      <c r="A20" s="1">
        <v>2509</v>
      </c>
      <c r="B20" s="48">
        <v>45904</v>
      </c>
      <c r="C20" s="33">
        <v>-1.4E-2</v>
      </c>
      <c r="D20" s="33">
        <v>3.7999999999999999E-2</v>
      </c>
      <c r="E20" s="34">
        <v>2.1999999999999999E-2</v>
      </c>
      <c r="F20" s="33" t="s">
        <v>28</v>
      </c>
      <c r="G20" s="33"/>
    </row>
    <row r="21" spans="1:7" x14ac:dyDescent="0.25">
      <c r="A21" s="1">
        <v>2510</v>
      </c>
      <c r="B21" s="48">
        <v>45932</v>
      </c>
      <c r="C21" s="33">
        <v>-1.4999999999999999E-2</v>
      </c>
      <c r="D21" s="33">
        <v>3.9E-2</v>
      </c>
      <c r="E21" s="34">
        <v>2.1999999999999999E-2</v>
      </c>
      <c r="F21" s="33" t="s">
        <v>31</v>
      </c>
      <c r="G21" s="33"/>
    </row>
    <row r="22" spans="1:7" x14ac:dyDescent="0.25">
      <c r="A22" s="1">
        <v>2511</v>
      </c>
      <c r="B22" s="48">
        <v>45960</v>
      </c>
      <c r="C22" s="33">
        <v>-1.4999999999999999E-2</v>
      </c>
      <c r="D22" s="33">
        <v>0.04</v>
      </c>
      <c r="E22" s="34">
        <v>2.3E-2</v>
      </c>
      <c r="F22" s="33" t="s">
        <v>31</v>
      </c>
      <c r="G22" s="33"/>
    </row>
    <row r="23" spans="1:7" x14ac:dyDescent="0.25">
      <c r="A23" s="1">
        <v>2512</v>
      </c>
      <c r="B23" s="48">
        <v>45988</v>
      </c>
      <c r="C23" s="33">
        <v>-1.7000000000000001E-2</v>
      </c>
      <c r="D23" s="33">
        <v>4.1000000000000002E-2</v>
      </c>
      <c r="E23" s="34">
        <v>2.4E-2</v>
      </c>
      <c r="F23" s="33" t="s">
        <v>28</v>
      </c>
      <c r="G23" s="33"/>
    </row>
  </sheetData>
  <conditionalFormatting sqref="C2:E23">
    <cfRule type="beginsWith" dxfId="10" priority="4" operator="beginsWith" text="PENDING FOR MODIFICATIONS">
      <formula>LEFT(C2,LEN("PENDING FOR MODIFICATIONS"))="PENDING FOR MODIFICATIONS"</formula>
    </cfRule>
    <cfRule type="beginsWith" dxfId="9" priority="5" operator="beginsWith" text="CHECKED">
      <formula>LEFT(C2,LEN("CHECKED"))="CHECKED"</formula>
    </cfRule>
  </conditionalFormatting>
  <conditionalFormatting sqref="F2:F23">
    <cfRule type="cellIs" dxfId="8" priority="1" operator="equal">
      <formula>"YES"</formula>
    </cfRule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9603-05ED-420D-B511-2B931934587F}">
  <dimension ref="A1:O31"/>
  <sheetViews>
    <sheetView topLeftCell="A19" zoomScaleNormal="100" workbookViewId="0">
      <selection activeCell="B32" sqref="B32"/>
    </sheetView>
  </sheetViews>
  <sheetFormatPr baseColWidth="10" defaultColWidth="8.85546875" defaultRowHeight="15" x14ac:dyDescent="0.25"/>
  <cols>
    <col min="1" max="1" width="13.140625" style="10" bestFit="1" customWidth="1"/>
    <col min="2" max="2" width="14.140625" style="10" bestFit="1" customWidth="1"/>
    <col min="3" max="3" width="18.85546875" style="10" bestFit="1" customWidth="1"/>
    <col min="4" max="4" width="17.42578125" style="10" bestFit="1" customWidth="1"/>
    <col min="5" max="5" width="14.140625" style="10" customWidth="1"/>
    <col min="6" max="6" width="14.5703125" style="10" customWidth="1"/>
    <col min="7" max="7" width="45.140625" style="10" customWidth="1"/>
    <col min="8" max="8" width="17.85546875" style="10" customWidth="1"/>
    <col min="9" max="9" width="14.5703125" style="10" bestFit="1" customWidth="1"/>
    <col min="10" max="10" width="19.140625" style="10" customWidth="1"/>
    <col min="11" max="11" width="16.5703125" style="10" bestFit="1" customWidth="1"/>
    <col min="12" max="12" width="15.5703125" style="10" bestFit="1" customWidth="1"/>
    <col min="13" max="13" width="22.42578125" style="10" bestFit="1" customWidth="1"/>
    <col min="14" max="14" width="18.140625" style="10" bestFit="1" customWidth="1"/>
    <col min="15" max="15" width="15.85546875" style="10" bestFit="1" customWidth="1"/>
    <col min="16" max="16384" width="8.85546875" style="10"/>
  </cols>
  <sheetData>
    <row r="1" spans="1:15" x14ac:dyDescent="0.25">
      <c r="A1" s="10" t="s">
        <v>16</v>
      </c>
      <c r="B1" s="11" t="s">
        <v>9</v>
      </c>
      <c r="C1" s="10" t="s">
        <v>17</v>
      </c>
      <c r="D1" s="10" t="s">
        <v>18</v>
      </c>
      <c r="E1" s="10" t="s">
        <v>38</v>
      </c>
      <c r="F1" s="10" t="s">
        <v>20</v>
      </c>
      <c r="G1" s="10" t="s">
        <v>21</v>
      </c>
      <c r="I1" s="10" t="s">
        <v>22</v>
      </c>
      <c r="J1" s="10" t="s">
        <v>23</v>
      </c>
      <c r="K1" s="10" t="s">
        <v>24</v>
      </c>
      <c r="M1" s="10" t="s">
        <v>25</v>
      </c>
      <c r="N1" s="10" t="s">
        <v>26</v>
      </c>
      <c r="O1" s="10" t="s">
        <v>27</v>
      </c>
    </row>
    <row r="2" spans="1:15" x14ac:dyDescent="0.25">
      <c r="A2" s="1">
        <v>2308</v>
      </c>
      <c r="B2" s="9">
        <v>45148</v>
      </c>
      <c r="C2" s="4">
        <v>-5.0000000000000001E-3</v>
      </c>
      <c r="D2" s="4">
        <v>3.5000000000000003E-2</v>
      </c>
      <c r="E2" s="30">
        <v>0.03</v>
      </c>
      <c r="F2" s="8" t="s">
        <v>28</v>
      </c>
      <c r="G2" s="8"/>
      <c r="I2" s="37">
        <v>44972</v>
      </c>
      <c r="J2" s="20">
        <v>0.06</v>
      </c>
      <c r="K2" s="5" t="s">
        <v>32</v>
      </c>
      <c r="M2" s="11">
        <v>45988</v>
      </c>
      <c r="N2" s="21">
        <v>2.3E-2</v>
      </c>
      <c r="O2" s="10" t="s">
        <v>97</v>
      </c>
    </row>
    <row r="3" spans="1:15" x14ac:dyDescent="0.25">
      <c r="A3" s="1">
        <v>2309</v>
      </c>
      <c r="B3" s="9">
        <v>45176</v>
      </c>
      <c r="C3" s="4">
        <v>-1.2999999999999999E-2</v>
      </c>
      <c r="D3" s="4">
        <v>3.5000000000000003E-2</v>
      </c>
      <c r="E3" s="30">
        <v>2.3E-2</v>
      </c>
      <c r="F3" s="8" t="s">
        <v>31</v>
      </c>
      <c r="G3" s="8"/>
      <c r="I3" s="37">
        <v>45057</v>
      </c>
      <c r="J3" s="20">
        <v>0.05</v>
      </c>
      <c r="K3" s="5" t="s">
        <v>39</v>
      </c>
    </row>
    <row r="4" spans="1:15" x14ac:dyDescent="0.25">
      <c r="A4" s="1">
        <v>2310</v>
      </c>
      <c r="B4" s="9">
        <v>45204</v>
      </c>
      <c r="C4" s="4">
        <v>-1.2999999999999999E-2</v>
      </c>
      <c r="D4" s="4">
        <v>3.5999999999999997E-2</v>
      </c>
      <c r="E4" s="30">
        <v>2.4E-2</v>
      </c>
      <c r="F4" s="8" t="s">
        <v>31</v>
      </c>
      <c r="G4" s="8"/>
      <c r="I4" s="37">
        <v>45177</v>
      </c>
      <c r="J4" s="20">
        <v>0.06</v>
      </c>
      <c r="K4" s="5" t="s">
        <v>30</v>
      </c>
    </row>
    <row r="5" spans="1:15" x14ac:dyDescent="0.25">
      <c r="A5" s="1">
        <v>2311</v>
      </c>
      <c r="B5" s="9">
        <v>45232</v>
      </c>
      <c r="C5" s="4">
        <v>-1.2999999999999999E-2</v>
      </c>
      <c r="D5" s="4">
        <v>3.5999999999999997E-2</v>
      </c>
      <c r="E5" s="30">
        <v>2.5000000000000001E-2</v>
      </c>
      <c r="F5" s="8" t="s">
        <v>28</v>
      </c>
      <c r="G5" s="8"/>
      <c r="I5" s="37">
        <v>45232</v>
      </c>
      <c r="J5" s="20">
        <v>0.05</v>
      </c>
      <c r="K5" s="5" t="s">
        <v>32</v>
      </c>
    </row>
    <row r="6" spans="1:15" x14ac:dyDescent="0.25">
      <c r="A6" s="1">
        <v>2312</v>
      </c>
      <c r="B6" s="9">
        <v>45260</v>
      </c>
      <c r="C6" s="7">
        <v>-1.2999999999999999E-2</v>
      </c>
      <c r="D6" s="7">
        <v>3.6999999999999998E-2</v>
      </c>
      <c r="E6" s="31">
        <v>2.5000000000000001E-2</v>
      </c>
      <c r="F6" s="8" t="s">
        <v>31</v>
      </c>
      <c r="G6" s="8"/>
      <c r="I6" s="37">
        <v>45296</v>
      </c>
      <c r="J6" s="20">
        <v>0.06</v>
      </c>
      <c r="K6" s="5" t="s">
        <v>30</v>
      </c>
    </row>
    <row r="7" spans="1:15" x14ac:dyDescent="0.25">
      <c r="A7" s="1">
        <v>2401</v>
      </c>
      <c r="B7" s="9">
        <v>45288</v>
      </c>
      <c r="C7" s="7">
        <v>-1.2999999999999999E-2</v>
      </c>
      <c r="D7" s="7">
        <v>3.6999999999999998E-2</v>
      </c>
      <c r="E7" s="31">
        <v>2.5000000000000001E-2</v>
      </c>
      <c r="F7" s="8" t="s">
        <v>31</v>
      </c>
      <c r="G7" s="8"/>
      <c r="I7" s="37">
        <v>45338</v>
      </c>
      <c r="J7" s="20">
        <v>0.05</v>
      </c>
      <c r="K7" s="5" t="s">
        <v>32</v>
      </c>
    </row>
    <row r="8" spans="1:15" ht="30" x14ac:dyDescent="0.25">
      <c r="A8" s="1">
        <v>2402</v>
      </c>
      <c r="B8" s="9">
        <v>45316</v>
      </c>
      <c r="C8" s="7">
        <v>-1.2E-2</v>
      </c>
      <c r="D8" s="7">
        <v>3.9E-2</v>
      </c>
      <c r="E8" s="31">
        <v>2.8000000000000001E-2</v>
      </c>
      <c r="F8" s="8" t="s">
        <v>28</v>
      </c>
      <c r="G8" s="8"/>
      <c r="I8" s="37">
        <v>45401</v>
      </c>
      <c r="J8" s="20">
        <v>0.06</v>
      </c>
      <c r="K8" s="5" t="s">
        <v>40</v>
      </c>
    </row>
    <row r="9" spans="1:15" ht="45" x14ac:dyDescent="0.25">
      <c r="A9" s="1">
        <v>2403</v>
      </c>
      <c r="B9" s="9">
        <v>45344</v>
      </c>
      <c r="C9" s="7">
        <v>-1.4E-2</v>
      </c>
      <c r="D9" s="7">
        <v>3.7999999999999999E-2</v>
      </c>
      <c r="E9" s="31">
        <v>2.5999999999999999E-2</v>
      </c>
      <c r="F9" s="8" t="s">
        <v>31</v>
      </c>
      <c r="G9" s="8"/>
      <c r="I9" s="37">
        <v>45413</v>
      </c>
      <c r="J9" s="38">
        <v>7.0000000000000007E-2</v>
      </c>
      <c r="K9" s="1" t="s">
        <v>35</v>
      </c>
    </row>
    <row r="10" spans="1:15" x14ac:dyDescent="0.25">
      <c r="A10" s="1">
        <v>2404</v>
      </c>
      <c r="B10" s="9">
        <v>45372</v>
      </c>
      <c r="C10" s="7">
        <v>-1.2999999999999999E-2</v>
      </c>
      <c r="D10" s="7">
        <v>4.1000000000000002E-2</v>
      </c>
      <c r="E10" s="31">
        <v>2.9000000000000001E-2</v>
      </c>
      <c r="F10" s="8" t="s">
        <v>31</v>
      </c>
      <c r="G10" s="8"/>
      <c r="I10" s="37">
        <v>45457</v>
      </c>
      <c r="J10" s="20">
        <v>0.05</v>
      </c>
      <c r="K10" s="2" t="s">
        <v>32</v>
      </c>
    </row>
    <row r="11" spans="1:15" x14ac:dyDescent="0.25">
      <c r="A11" s="1">
        <v>2405</v>
      </c>
      <c r="B11" s="9">
        <v>45400</v>
      </c>
      <c r="C11" s="7">
        <v>-1.4E-2</v>
      </c>
      <c r="D11" s="7">
        <v>3.9E-2</v>
      </c>
      <c r="E11" s="31">
        <v>2.5999999999999999E-2</v>
      </c>
      <c r="F11" s="8" t="s">
        <v>28</v>
      </c>
      <c r="G11" s="8"/>
      <c r="I11" s="37">
        <v>45497</v>
      </c>
      <c r="J11" s="20">
        <v>5.5E-2</v>
      </c>
      <c r="K11" s="2" t="s">
        <v>30</v>
      </c>
    </row>
    <row r="12" spans="1:15" x14ac:dyDescent="0.25">
      <c r="A12" s="1">
        <v>2406</v>
      </c>
      <c r="B12" s="9">
        <v>45428</v>
      </c>
      <c r="C12" s="7">
        <v>-1.4E-2</v>
      </c>
      <c r="D12" s="7">
        <v>3.7999999999999999E-2</v>
      </c>
      <c r="E12" s="31">
        <v>2.5000000000000001E-2</v>
      </c>
      <c r="F12" s="8" t="s">
        <v>31</v>
      </c>
      <c r="G12" s="8"/>
      <c r="I12" s="37">
        <v>45511</v>
      </c>
      <c r="J12" s="20">
        <v>4.4999999999999998E-2</v>
      </c>
      <c r="K12" s="5" t="s">
        <v>32</v>
      </c>
    </row>
    <row r="13" spans="1:15" x14ac:dyDescent="0.25">
      <c r="A13" s="1">
        <v>2407</v>
      </c>
      <c r="B13" s="9">
        <v>45456</v>
      </c>
      <c r="C13" s="7">
        <v>-1.4999999999999999E-2</v>
      </c>
      <c r="D13" s="7">
        <v>3.5999999999999997E-2</v>
      </c>
      <c r="E13" s="31">
        <v>2.3E-2</v>
      </c>
      <c r="F13" s="8" t="s">
        <v>28</v>
      </c>
      <c r="G13" s="8"/>
      <c r="I13" s="37">
        <v>45727</v>
      </c>
      <c r="J13" s="20">
        <v>0.06</v>
      </c>
      <c r="K13" s="39" t="s">
        <v>30</v>
      </c>
    </row>
    <row r="14" spans="1:15" x14ac:dyDescent="0.25">
      <c r="A14" s="1">
        <v>2408</v>
      </c>
      <c r="B14" s="3">
        <v>45512</v>
      </c>
      <c r="C14" s="4">
        <v>-1.4999999999999999E-2</v>
      </c>
      <c r="D14" s="4">
        <v>3.2000000000000001E-2</v>
      </c>
      <c r="E14" s="30">
        <v>1.9E-2</v>
      </c>
      <c r="F14" s="8" t="s">
        <v>28</v>
      </c>
      <c r="G14" s="8"/>
      <c r="I14" s="37">
        <v>45741</v>
      </c>
      <c r="J14" s="20">
        <v>0.05</v>
      </c>
      <c r="K14" s="39" t="s">
        <v>32</v>
      </c>
    </row>
    <row r="15" spans="1:15" x14ac:dyDescent="0.25">
      <c r="A15" s="1">
        <v>2409</v>
      </c>
      <c r="B15" s="3">
        <v>45540</v>
      </c>
      <c r="C15" s="4">
        <v>-1.4999999999999999E-2</v>
      </c>
      <c r="D15" s="4">
        <v>3.2000000000000001E-2</v>
      </c>
      <c r="E15" s="30">
        <v>1.7999999999999999E-2</v>
      </c>
      <c r="F15" s="8" t="s">
        <v>31</v>
      </c>
      <c r="G15" s="8"/>
      <c r="I15" s="37">
        <v>45783</v>
      </c>
      <c r="J15" s="20">
        <v>4.4999999999999998E-2</v>
      </c>
      <c r="K15" s="39" t="s">
        <v>41</v>
      </c>
    </row>
    <row r="16" spans="1:15" x14ac:dyDescent="0.25">
      <c r="A16" s="1">
        <v>2410</v>
      </c>
      <c r="B16" s="3">
        <v>45568</v>
      </c>
      <c r="C16" s="4">
        <v>-1.4999999999999999E-2</v>
      </c>
      <c r="D16" s="4">
        <v>3.1E-2</v>
      </c>
      <c r="E16" s="30">
        <v>1.7999999999999999E-2</v>
      </c>
      <c r="F16" s="8" t="s">
        <v>31</v>
      </c>
      <c r="G16" s="8"/>
      <c r="I16" s="53">
        <v>45979</v>
      </c>
      <c r="J16" s="54">
        <v>0.06</v>
      </c>
      <c r="K16" s="55" t="s">
        <v>30</v>
      </c>
    </row>
    <row r="17" spans="1:7" x14ac:dyDescent="0.25">
      <c r="A17" s="1">
        <v>2411</v>
      </c>
      <c r="B17" s="3">
        <v>45596</v>
      </c>
      <c r="C17" s="4">
        <v>-1.6E-2</v>
      </c>
      <c r="D17" s="4">
        <v>3.2000000000000001E-2</v>
      </c>
      <c r="E17" s="30">
        <v>1.7999999999999999E-2</v>
      </c>
      <c r="F17" s="8" t="s">
        <v>28</v>
      </c>
      <c r="G17" s="8"/>
    </row>
    <row r="18" spans="1:7" x14ac:dyDescent="0.25">
      <c r="A18" s="1">
        <v>2412</v>
      </c>
      <c r="B18" s="3">
        <v>45624</v>
      </c>
      <c r="C18" s="4">
        <v>-1.4999999999999999E-2</v>
      </c>
      <c r="D18" s="4">
        <v>3.3000000000000002E-2</v>
      </c>
      <c r="E18" s="30">
        <v>1.9E-2</v>
      </c>
      <c r="F18" s="8" t="s">
        <v>31</v>
      </c>
      <c r="G18" s="8"/>
    </row>
    <row r="19" spans="1:7" ht="44.45" customHeight="1" x14ac:dyDescent="0.25">
      <c r="A19" s="1">
        <v>2413</v>
      </c>
      <c r="B19" s="3">
        <v>45652</v>
      </c>
      <c r="C19" s="4">
        <v>-1.4E-2</v>
      </c>
      <c r="D19" s="4">
        <v>3.3000000000000002E-2</v>
      </c>
      <c r="E19" s="30">
        <v>1.9E-2</v>
      </c>
      <c r="F19" s="8" t="s">
        <v>28</v>
      </c>
      <c r="G19" s="8" t="s">
        <v>42</v>
      </c>
    </row>
    <row r="20" spans="1:7" x14ac:dyDescent="0.25">
      <c r="A20" s="1">
        <v>2501</v>
      </c>
      <c r="B20" s="3">
        <v>45680</v>
      </c>
      <c r="C20" s="4">
        <v>-1.4E-2</v>
      </c>
      <c r="D20" s="4">
        <v>3.4000000000000002E-2</v>
      </c>
      <c r="E20" s="30">
        <v>0.02</v>
      </c>
      <c r="F20" s="8" t="s">
        <v>31</v>
      </c>
      <c r="G20" s="8"/>
    </row>
    <row r="21" spans="1:7" ht="30" x14ac:dyDescent="0.25">
      <c r="A21" s="1">
        <v>2502</v>
      </c>
      <c r="B21" s="3">
        <v>45708</v>
      </c>
      <c r="C21" s="4">
        <v>-1.2E-2</v>
      </c>
      <c r="D21" s="4">
        <v>3.5999999999999997E-2</v>
      </c>
      <c r="E21" s="30">
        <v>2.3E-2</v>
      </c>
      <c r="F21" s="8" t="s">
        <v>31</v>
      </c>
      <c r="G21" s="8" t="s">
        <v>43</v>
      </c>
    </row>
    <row r="22" spans="1:7" ht="30" x14ac:dyDescent="0.25">
      <c r="A22" s="1">
        <v>2503</v>
      </c>
      <c r="B22" s="12">
        <v>45736</v>
      </c>
      <c r="C22" s="33">
        <v>-1.0999999999999999E-2</v>
      </c>
      <c r="D22" s="33">
        <v>3.6999999999999998E-2</v>
      </c>
      <c r="E22" s="34">
        <v>2.4E-2</v>
      </c>
      <c r="F22" s="35" t="s">
        <v>28</v>
      </c>
      <c r="G22" s="35" t="s">
        <v>44</v>
      </c>
    </row>
    <row r="23" spans="1:7" x14ac:dyDescent="0.25">
      <c r="A23" s="1">
        <v>2504</v>
      </c>
      <c r="B23" s="49">
        <v>45764</v>
      </c>
      <c r="C23" s="33">
        <v>-1.0999999999999999E-2</v>
      </c>
      <c r="D23" s="33">
        <v>3.5999999999999997E-2</v>
      </c>
      <c r="E23" s="34">
        <v>2.3E-2</v>
      </c>
      <c r="F23" s="35" t="s">
        <v>28</v>
      </c>
      <c r="G23" s="35" t="s">
        <v>45</v>
      </c>
    </row>
    <row r="24" spans="1:7" x14ac:dyDescent="0.25">
      <c r="A24" s="1">
        <v>2505</v>
      </c>
      <c r="B24" s="49">
        <v>45792</v>
      </c>
      <c r="C24" s="33">
        <v>-1.2E-2</v>
      </c>
      <c r="D24" s="33">
        <v>3.5999999999999997E-2</v>
      </c>
      <c r="E24" s="34">
        <v>2.1999999999999999E-2</v>
      </c>
      <c r="F24" s="35" t="s">
        <v>31</v>
      </c>
      <c r="G24" s="35"/>
    </row>
    <row r="25" spans="1:7" x14ac:dyDescent="0.25">
      <c r="A25" s="1">
        <v>2506</v>
      </c>
      <c r="B25" s="49">
        <v>45820</v>
      </c>
      <c r="C25" s="33">
        <v>-1.0999999999999999E-2</v>
      </c>
      <c r="D25" s="33">
        <v>3.5000000000000003E-2</v>
      </c>
      <c r="E25" s="34">
        <v>2.1000000000000001E-2</v>
      </c>
      <c r="F25" s="35" t="s">
        <v>31</v>
      </c>
      <c r="G25" s="35"/>
    </row>
    <row r="26" spans="1:7" x14ac:dyDescent="0.25">
      <c r="A26" s="1">
        <v>2507</v>
      </c>
      <c r="B26" s="49">
        <v>45848</v>
      </c>
      <c r="C26" s="33">
        <v>-1.0999999999999999E-2</v>
      </c>
      <c r="D26" s="33">
        <v>3.3000000000000002E-2</v>
      </c>
      <c r="E26" s="34">
        <v>0.02</v>
      </c>
      <c r="F26" s="35" t="s">
        <v>28</v>
      </c>
      <c r="G26" s="35"/>
    </row>
    <row r="27" spans="1:7" x14ac:dyDescent="0.25">
      <c r="A27" s="1">
        <v>2508</v>
      </c>
      <c r="B27" s="49">
        <v>45876</v>
      </c>
      <c r="C27" s="33">
        <v>-1.0999999999999999E-2</v>
      </c>
      <c r="D27" s="33">
        <v>3.3000000000000002E-2</v>
      </c>
      <c r="E27" s="34">
        <v>1.9E-2</v>
      </c>
      <c r="F27" s="35" t="s">
        <v>31</v>
      </c>
      <c r="G27" s="35"/>
    </row>
    <row r="28" spans="1:7" x14ac:dyDescent="0.25">
      <c r="A28" s="1">
        <v>2509</v>
      </c>
      <c r="B28" s="49">
        <v>45904</v>
      </c>
      <c r="C28" s="33">
        <v>-1.0999999999999999E-2</v>
      </c>
      <c r="D28" s="33">
        <v>3.2000000000000001E-2</v>
      </c>
      <c r="E28" s="34">
        <v>1.9E-2</v>
      </c>
      <c r="F28" s="35" t="s">
        <v>31</v>
      </c>
      <c r="G28" s="35"/>
    </row>
    <row r="29" spans="1:7" x14ac:dyDescent="0.25">
      <c r="A29" s="1">
        <v>2510</v>
      </c>
      <c r="B29" s="49">
        <v>45932</v>
      </c>
      <c r="C29" s="33">
        <v>-1.0999999999999999E-2</v>
      </c>
      <c r="D29" s="33">
        <v>3.1E-2</v>
      </c>
      <c r="E29" s="34">
        <v>1.7999999999999999E-2</v>
      </c>
      <c r="F29" s="35" t="s">
        <v>28</v>
      </c>
      <c r="G29" s="35"/>
    </row>
    <row r="30" spans="1:7" x14ac:dyDescent="0.25">
      <c r="A30" s="1">
        <v>2511</v>
      </c>
      <c r="B30" s="49">
        <v>45960</v>
      </c>
      <c r="C30" s="33">
        <v>-1.0999999999999999E-2</v>
      </c>
      <c r="D30" s="33">
        <v>3.2000000000000001E-2</v>
      </c>
      <c r="E30" s="34">
        <v>1.9E-2</v>
      </c>
      <c r="F30" s="35" t="s">
        <v>31</v>
      </c>
      <c r="G30" s="35"/>
    </row>
    <row r="31" spans="1:7" x14ac:dyDescent="0.25">
      <c r="A31" s="1">
        <v>2512</v>
      </c>
      <c r="B31" s="48">
        <v>45988</v>
      </c>
      <c r="C31" s="33">
        <v>-1.2E-2</v>
      </c>
      <c r="D31" s="33">
        <v>3.6999999999999998E-2</v>
      </c>
      <c r="E31" s="34">
        <v>2.3E-2</v>
      </c>
      <c r="F31" s="35" t="s">
        <v>28</v>
      </c>
      <c r="G31" s="35"/>
    </row>
  </sheetData>
  <conditionalFormatting sqref="C2:E31">
    <cfRule type="beginsWith" dxfId="7" priority="5" operator="beginsWith" text="PENDING FOR MODIFICATIONS">
      <formula>LEFT(C2,LEN("PENDING FOR MODIFICATIONS"))="PENDING FOR MODIFICATIONS"</formula>
    </cfRule>
    <cfRule type="beginsWith" dxfId="6" priority="6" operator="beginsWith" text="CHECKED">
      <formula>LEFT(C2,LEN("CHECKED"))="CHECKED"</formula>
    </cfRule>
  </conditionalFormatting>
  <conditionalFormatting sqref="F2:F31">
    <cfRule type="cellIs" dxfId="5" priority="1" operator="equal">
      <formula>"YES"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C9E1-0710-47DF-A0E7-91E548BE5EFB}">
  <dimension ref="A1:O18"/>
  <sheetViews>
    <sheetView tabSelected="1" zoomScaleNormal="100" workbookViewId="0">
      <selection activeCell="K13" sqref="K13"/>
    </sheetView>
  </sheetViews>
  <sheetFormatPr baseColWidth="10" defaultColWidth="8.85546875" defaultRowHeight="15" x14ac:dyDescent="0.25"/>
  <cols>
    <col min="1" max="1" width="14.85546875" style="10" bestFit="1" customWidth="1"/>
    <col min="2" max="2" width="11" style="10" bestFit="1" customWidth="1"/>
    <col min="3" max="3" width="18.42578125" style="10" bestFit="1" customWidth="1"/>
    <col min="4" max="4" width="17.140625" style="10" bestFit="1" customWidth="1"/>
    <col min="5" max="5" width="28.140625" style="10" bestFit="1" customWidth="1"/>
    <col min="6" max="6" width="14.5703125" style="10" customWidth="1"/>
    <col min="7" max="7" width="29.140625" style="10" customWidth="1"/>
    <col min="8" max="8" width="11.5703125" style="10" bestFit="1" customWidth="1"/>
    <col min="9" max="9" width="25.85546875" style="10" customWidth="1"/>
    <col min="10" max="10" width="14.140625" style="10" bestFit="1" customWidth="1"/>
    <col min="11" max="11" width="18.140625" style="10" bestFit="1" customWidth="1"/>
    <col min="12" max="12" width="15.85546875" style="10" bestFit="1" customWidth="1"/>
    <col min="13" max="13" width="22.140625" style="10" bestFit="1" customWidth="1"/>
    <col min="14" max="14" width="8.85546875" style="10"/>
    <col min="15" max="15" width="15.85546875" style="10" bestFit="1" customWidth="1"/>
    <col min="16" max="16384" width="8.85546875" style="10"/>
  </cols>
  <sheetData>
    <row r="1" spans="1:15" x14ac:dyDescent="0.25">
      <c r="A1" s="10" t="s">
        <v>16</v>
      </c>
      <c r="B1" s="11" t="s">
        <v>9</v>
      </c>
      <c r="C1" s="10" t="s">
        <v>17</v>
      </c>
      <c r="D1" s="10" t="s">
        <v>18</v>
      </c>
      <c r="E1" s="29" t="s">
        <v>19</v>
      </c>
      <c r="F1" s="10" t="s">
        <v>20</v>
      </c>
      <c r="G1" s="10" t="s">
        <v>21</v>
      </c>
      <c r="I1" s="10" t="s">
        <v>22</v>
      </c>
      <c r="J1" s="10" t="s">
        <v>23</v>
      </c>
      <c r="K1" s="10" t="s">
        <v>24</v>
      </c>
      <c r="M1" s="10" t="s">
        <v>25</v>
      </c>
      <c r="N1" s="10" t="s">
        <v>26</v>
      </c>
      <c r="O1" s="10" t="s">
        <v>27</v>
      </c>
    </row>
    <row r="2" spans="1:15" ht="30" x14ac:dyDescent="0.25">
      <c r="A2" s="1">
        <v>2507</v>
      </c>
      <c r="B2" s="3">
        <v>45848</v>
      </c>
      <c r="C2" s="4"/>
      <c r="D2" s="4"/>
      <c r="E2" s="30">
        <v>0.02</v>
      </c>
      <c r="F2" s="33" t="s">
        <v>28</v>
      </c>
      <c r="G2" s="33" t="s">
        <v>93</v>
      </c>
      <c r="I2" s="37"/>
      <c r="J2" s="20"/>
      <c r="K2" s="5"/>
      <c r="M2" s="11">
        <v>45988</v>
      </c>
      <c r="N2" s="21">
        <v>1.4E-2</v>
      </c>
      <c r="O2" s="10" t="s">
        <v>92</v>
      </c>
    </row>
    <row r="3" spans="1:15" ht="30" x14ac:dyDescent="0.25">
      <c r="A3" s="1">
        <v>2508</v>
      </c>
      <c r="B3" s="3">
        <v>45876</v>
      </c>
      <c r="C3" s="4"/>
      <c r="D3" s="4"/>
      <c r="E3" s="30">
        <v>0.02</v>
      </c>
      <c r="F3" s="33" t="s">
        <v>31</v>
      </c>
      <c r="G3" s="33" t="s">
        <v>94</v>
      </c>
      <c r="I3" s="37"/>
      <c r="J3" s="20"/>
      <c r="K3" s="5"/>
    </row>
    <row r="4" spans="1:15" ht="30" x14ac:dyDescent="0.25">
      <c r="A4" s="1">
        <v>2509</v>
      </c>
      <c r="B4" s="3">
        <v>45904</v>
      </c>
      <c r="C4" s="4"/>
      <c r="D4" s="4"/>
      <c r="E4" s="30">
        <v>0.02</v>
      </c>
      <c r="F4" s="33" t="s">
        <v>31</v>
      </c>
      <c r="G4" s="33" t="s">
        <v>94</v>
      </c>
      <c r="I4" s="37"/>
      <c r="J4" s="20"/>
      <c r="K4" s="5"/>
    </row>
    <row r="5" spans="1:15" ht="30" x14ac:dyDescent="0.25">
      <c r="A5" s="1">
        <v>2510</v>
      </c>
      <c r="B5" s="3">
        <v>45932</v>
      </c>
      <c r="C5" s="4"/>
      <c r="D5" s="4"/>
      <c r="E5" s="30">
        <v>0.02</v>
      </c>
      <c r="F5" s="33" t="s">
        <v>31</v>
      </c>
      <c r="G5" s="33" t="s">
        <v>94</v>
      </c>
      <c r="I5" s="37"/>
      <c r="J5" s="20"/>
      <c r="K5" s="5"/>
    </row>
    <row r="6" spans="1:15" ht="45" x14ac:dyDescent="0.25">
      <c r="A6" s="1">
        <v>2511</v>
      </c>
      <c r="B6" s="3">
        <v>45960</v>
      </c>
      <c r="C6" s="7"/>
      <c r="D6" s="7"/>
      <c r="E6" s="31">
        <v>0.02</v>
      </c>
      <c r="F6" s="33" t="s">
        <v>31</v>
      </c>
      <c r="G6" s="33" t="s">
        <v>96</v>
      </c>
      <c r="I6" s="37"/>
      <c r="J6" s="20"/>
      <c r="K6" s="2"/>
    </row>
    <row r="7" spans="1:15" x14ac:dyDescent="0.25">
      <c r="A7" s="1">
        <v>2512</v>
      </c>
      <c r="B7" s="48">
        <v>45988</v>
      </c>
      <c r="C7" s="7">
        <v>5.0000000000000001E-3</v>
      </c>
      <c r="D7" s="7">
        <v>1.2E-2</v>
      </c>
      <c r="E7" s="31">
        <v>1.4E-2</v>
      </c>
      <c r="F7" s="33" t="s">
        <v>28</v>
      </c>
      <c r="G7" s="33"/>
      <c r="I7" s="37"/>
      <c r="J7" s="20"/>
      <c r="K7" s="5"/>
    </row>
    <row r="8" spans="1:15" x14ac:dyDescent="0.25">
      <c r="A8" s="1"/>
      <c r="B8" s="3"/>
      <c r="C8" s="7"/>
      <c r="D8" s="7"/>
      <c r="E8" s="31"/>
      <c r="F8" s="33"/>
      <c r="G8" s="33"/>
      <c r="I8" s="37"/>
      <c r="J8" s="20"/>
      <c r="K8" s="2"/>
    </row>
    <row r="9" spans="1:15" x14ac:dyDescent="0.25">
      <c r="A9" s="1"/>
      <c r="B9" s="3"/>
      <c r="C9" s="7"/>
      <c r="D9" s="7"/>
      <c r="E9" s="31"/>
      <c r="F9" s="33"/>
      <c r="G9" s="33"/>
      <c r="I9" s="37"/>
      <c r="J9" s="20"/>
      <c r="K9" s="2"/>
    </row>
    <row r="10" spans="1:15" x14ac:dyDescent="0.25">
      <c r="A10" s="1"/>
      <c r="B10" s="3"/>
      <c r="C10" s="7"/>
      <c r="D10" s="7"/>
      <c r="E10" s="31"/>
      <c r="F10" s="33"/>
      <c r="G10" s="33"/>
    </row>
    <row r="11" spans="1:15" x14ac:dyDescent="0.25">
      <c r="A11" s="1"/>
      <c r="B11" s="3"/>
      <c r="C11" s="7"/>
      <c r="D11" s="7"/>
      <c r="E11" s="31"/>
      <c r="F11" s="33"/>
      <c r="G11" s="33"/>
    </row>
    <row r="12" spans="1:15" x14ac:dyDescent="0.25">
      <c r="A12" s="1"/>
      <c r="B12" s="3"/>
      <c r="C12" s="7"/>
      <c r="D12" s="7"/>
      <c r="E12" s="31"/>
      <c r="F12" s="33"/>
      <c r="G12" s="33"/>
    </row>
    <row r="13" spans="1:15" x14ac:dyDescent="0.25">
      <c r="A13" s="1"/>
      <c r="B13" s="3"/>
      <c r="C13" s="7"/>
      <c r="D13" s="7"/>
      <c r="E13" s="31"/>
      <c r="F13" s="33"/>
      <c r="G13" s="36"/>
    </row>
    <row r="14" spans="1:15" x14ac:dyDescent="0.25">
      <c r="A14" s="1"/>
      <c r="B14" s="12"/>
      <c r="C14" s="33"/>
      <c r="D14" s="33"/>
      <c r="E14" s="34"/>
      <c r="F14" s="33"/>
      <c r="G14" s="36"/>
    </row>
    <row r="15" spans="1:15" x14ac:dyDescent="0.25">
      <c r="A15" s="1"/>
      <c r="B15" s="48"/>
      <c r="C15" s="33"/>
      <c r="D15" s="33"/>
      <c r="E15" s="34"/>
      <c r="F15" s="33"/>
      <c r="G15" s="33"/>
    </row>
    <row r="16" spans="1:15" x14ac:dyDescent="0.25">
      <c r="A16" s="1"/>
      <c r="B16" s="48"/>
      <c r="C16" s="33"/>
      <c r="D16" s="33"/>
      <c r="E16" s="34"/>
      <c r="F16" s="33"/>
      <c r="G16" s="33"/>
    </row>
    <row r="17" spans="1:7" x14ac:dyDescent="0.25">
      <c r="A17" s="1"/>
      <c r="B17" s="48"/>
      <c r="C17" s="33"/>
      <c r="D17" s="33"/>
      <c r="E17" s="34"/>
      <c r="F17" s="33"/>
      <c r="G17" s="33"/>
    </row>
    <row r="18" spans="1:7" x14ac:dyDescent="0.25">
      <c r="A18" s="1"/>
      <c r="B18" s="48"/>
      <c r="C18" s="33"/>
      <c r="D18" s="33"/>
      <c r="E18" s="34"/>
      <c r="F18" s="33"/>
      <c r="G18" s="33"/>
    </row>
  </sheetData>
  <conditionalFormatting sqref="C2:E18">
    <cfRule type="beginsWith" dxfId="4" priority="2" operator="beginsWith" text="PENDING FOR MODIFICATIONS">
      <formula>LEFT(C2,LEN("PENDING FOR MODIFICATIONS"))="PENDING FOR MODIFICATIONS"</formula>
    </cfRule>
    <cfRule type="beginsWith" dxfId="3" priority="3" operator="beginsWith" text="CHECKED">
      <formula>LEFT(C2,LEN("CHECKED"))="CHECKED"</formula>
    </cfRule>
  </conditionalFormatting>
  <conditionalFormatting sqref="F2:F18">
    <cfRule type="cellIs" dxfId="2" priority="1" operator="equal">
      <formula>"YES"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BA7-F921-49FE-A9F6-C92B2F4B3D45}">
  <dimension ref="A1:W36"/>
  <sheetViews>
    <sheetView zoomScale="85" zoomScaleNormal="100" workbookViewId="0">
      <pane ySplit="1" topLeftCell="A9" activePane="bottomLeft" state="frozen"/>
      <selection activeCell="A2" sqref="A2"/>
      <selection pane="bottomLeft" activeCell="U2" sqref="U2"/>
    </sheetView>
  </sheetViews>
  <sheetFormatPr baseColWidth="10" defaultColWidth="10.85546875" defaultRowHeight="15" customHeight="1" x14ac:dyDescent="0.25"/>
  <cols>
    <col min="1" max="1" width="12" style="1" customWidth="1"/>
    <col min="2" max="2" width="10.85546875" style="12"/>
    <col min="3" max="3" width="14.140625" style="1" bestFit="1" customWidth="1"/>
    <col min="4" max="4" width="13" style="1" bestFit="1" customWidth="1"/>
    <col min="5" max="5" width="14.140625" style="1" bestFit="1" customWidth="1"/>
    <col min="6" max="6" width="13" style="1" bestFit="1" customWidth="1"/>
    <col min="7" max="7" width="10.85546875" style="1"/>
    <col min="8" max="8" width="26.5703125" style="16" customWidth="1"/>
    <col min="9" max="9" width="34.5703125" style="16" customWidth="1"/>
    <col min="10" max="10" width="26.5703125" style="1" customWidth="1"/>
    <col min="11" max="11" width="34.5703125" style="1" customWidth="1"/>
    <col min="12" max="12" width="18.5703125" style="1" bestFit="1" customWidth="1"/>
    <col min="13" max="13" width="18.42578125" style="1" bestFit="1" customWidth="1"/>
    <col min="14" max="14" width="19.140625" style="1" bestFit="1" customWidth="1"/>
    <col min="15" max="15" width="23.85546875" style="1" customWidth="1"/>
    <col min="16" max="16" width="20.42578125" style="1" customWidth="1"/>
    <col min="17" max="17" width="21.140625" style="1" customWidth="1"/>
    <col min="18" max="18" width="20.140625" style="1" bestFit="1" customWidth="1"/>
    <col min="19" max="19" width="16" style="1" customWidth="1"/>
    <col min="20" max="20" width="15.85546875" style="1" customWidth="1"/>
    <col min="21" max="21" width="23.140625" style="1" bestFit="1" customWidth="1"/>
    <col min="22" max="22" width="18.5703125" style="1" bestFit="1" customWidth="1"/>
    <col min="23" max="23" width="16.42578125" style="1" bestFit="1" customWidth="1"/>
    <col min="24" max="16384" width="10.85546875" style="1"/>
  </cols>
  <sheetData>
    <row r="1" spans="1:23" ht="30" x14ac:dyDescent="0.25">
      <c r="A1" s="1" t="s">
        <v>46</v>
      </c>
      <c r="B1" s="12" t="s">
        <v>9</v>
      </c>
      <c r="C1" s="1" t="s">
        <v>47</v>
      </c>
      <c r="D1" s="1" t="s">
        <v>95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20</v>
      </c>
      <c r="O1" s="1" t="s">
        <v>21</v>
      </c>
      <c r="Q1" s="1" t="s">
        <v>22</v>
      </c>
      <c r="R1" s="1" t="s">
        <v>23</v>
      </c>
      <c r="S1" s="1" t="s">
        <v>24</v>
      </c>
      <c r="U1" s="6" t="s">
        <v>25</v>
      </c>
      <c r="V1" s="18" t="s">
        <v>26</v>
      </c>
      <c r="W1" s="6" t="s">
        <v>27</v>
      </c>
    </row>
    <row r="2" spans="1:23" x14ac:dyDescent="0.25">
      <c r="A2" s="1">
        <v>2304</v>
      </c>
      <c r="B2" s="12">
        <v>45036</v>
      </c>
      <c r="C2" s="1">
        <v>-1.1080000000000001</v>
      </c>
      <c r="D2" s="1">
        <v>1.1890000000000001</v>
      </c>
      <c r="E2" s="1">
        <v>-8.6999999999999994E-2</v>
      </c>
      <c r="F2" s="1">
        <v>1.2010000000000001</v>
      </c>
      <c r="G2" s="1">
        <v>21</v>
      </c>
      <c r="H2" s="16">
        <f>IF(C2="","",-C2)</f>
        <v>1.1080000000000001</v>
      </c>
      <c r="I2" s="16">
        <f>IF(H2="","",IF(H2&lt;0,TRUNC(IF(H2="","",H2),1),ROUNDUP(IF(H2="","",H2),1)))</f>
        <v>1.2000000000000002</v>
      </c>
      <c r="J2" s="1">
        <f>IF(E2="","",-E2)</f>
        <v>8.6999999999999994E-2</v>
      </c>
      <c r="K2" s="1">
        <f>IF(J2="","",IF(J2&lt;0,TRUNC(IF(J2="","",J2),1),ROUNDUP(IF(J2="","",J2),1)))</f>
        <v>0.1</v>
      </c>
      <c r="L2" s="32">
        <f>IF(K2="","",Constants!$A$3+K2)</f>
        <v>-0.9</v>
      </c>
      <c r="M2" s="32">
        <f t="shared" ref="M2:M26" si="0">IF(I2="","",I2)</f>
        <v>1.2000000000000002</v>
      </c>
      <c r="N2" s="1" t="s">
        <v>28</v>
      </c>
      <c r="Q2" s="37">
        <v>45118</v>
      </c>
      <c r="R2" s="32">
        <v>3</v>
      </c>
      <c r="S2" s="1" t="s">
        <v>32</v>
      </c>
      <c r="U2" s="17">
        <v>45988</v>
      </c>
      <c r="V2" s="19">
        <v>0.1</v>
      </c>
      <c r="W2" s="6" t="s">
        <v>97</v>
      </c>
    </row>
    <row r="3" spans="1:23" ht="30" x14ac:dyDescent="0.25">
      <c r="A3" s="1">
        <v>2305</v>
      </c>
      <c r="B3" s="12">
        <v>45064</v>
      </c>
      <c r="C3" s="1">
        <v>-1.111</v>
      </c>
      <c r="D3" s="1">
        <v>0.96699999999999997</v>
      </c>
      <c r="E3" s="1">
        <v>-0.09</v>
      </c>
      <c r="F3" s="1">
        <v>0.97699999999999998</v>
      </c>
      <c r="G3" s="1">
        <v>37</v>
      </c>
      <c r="H3" s="16">
        <f t="shared" ref="H3:H26" si="1">IF(C3="","",-C3)</f>
        <v>1.111</v>
      </c>
      <c r="I3" s="16">
        <f t="shared" ref="I3:I26" si="2">IF(H3="","",IF(H3&lt;0,TRUNC(IF(H3="","",H3),1),ROUNDUP(IF(H3="","",H3),1)))</f>
        <v>1.2000000000000002</v>
      </c>
      <c r="J3" s="1">
        <f t="shared" ref="J3:J26" si="3">IF(E3="","",-E3)</f>
        <v>0.09</v>
      </c>
      <c r="K3" s="1">
        <f t="shared" ref="K3:K26" si="4">IF(J3="","",IF(J3&lt;0,TRUNC(IF(J3="","",J3),1),ROUNDUP(IF(J3="","",J3),1)))</f>
        <v>0.1</v>
      </c>
      <c r="L3" s="32">
        <f>IF(K3="","",Constants!$A$3+K3)</f>
        <v>-0.9</v>
      </c>
      <c r="M3" s="32">
        <f t="shared" si="0"/>
        <v>1.2000000000000002</v>
      </c>
      <c r="N3" s="1" t="s">
        <v>31</v>
      </c>
      <c r="Q3" s="37">
        <v>45118</v>
      </c>
      <c r="R3" s="32">
        <v>-3</v>
      </c>
      <c r="S3" s="1" t="s">
        <v>57</v>
      </c>
    </row>
    <row r="4" spans="1:23" ht="30" x14ac:dyDescent="0.25">
      <c r="A4" s="1">
        <v>2306</v>
      </c>
      <c r="B4" s="12">
        <v>45092</v>
      </c>
      <c r="C4" s="1">
        <v>-0.98</v>
      </c>
      <c r="D4" s="1">
        <v>0.96899999999999997</v>
      </c>
      <c r="E4" s="1">
        <v>4.2999999999999997E-2</v>
      </c>
      <c r="F4" s="1">
        <v>0.97899999999999998</v>
      </c>
      <c r="G4" s="1">
        <v>81</v>
      </c>
      <c r="H4" s="16">
        <f t="shared" si="1"/>
        <v>0.98</v>
      </c>
      <c r="I4" s="16">
        <f t="shared" si="2"/>
        <v>1</v>
      </c>
      <c r="J4" s="1">
        <f t="shared" si="3"/>
        <v>-4.2999999999999997E-2</v>
      </c>
      <c r="K4" s="1">
        <f t="shared" si="4"/>
        <v>0</v>
      </c>
      <c r="L4" s="32">
        <f>IF(K4="","",Constants!$A$3+K4)</f>
        <v>-1</v>
      </c>
      <c r="M4" s="32">
        <f t="shared" si="0"/>
        <v>1</v>
      </c>
      <c r="N4" s="1" t="s">
        <v>31</v>
      </c>
      <c r="Q4" s="37">
        <v>45240</v>
      </c>
      <c r="R4" s="32">
        <v>-3</v>
      </c>
      <c r="S4" s="1" t="s">
        <v>58</v>
      </c>
    </row>
    <row r="5" spans="1:23" ht="30" x14ac:dyDescent="0.25">
      <c r="A5" s="1">
        <v>2307</v>
      </c>
      <c r="B5" s="12">
        <v>45120</v>
      </c>
      <c r="C5" s="1">
        <v>-0.94899999999999995</v>
      </c>
      <c r="D5" s="1">
        <v>0.89100000000000001</v>
      </c>
      <c r="E5" s="1">
        <v>7.3999999999999996E-2</v>
      </c>
      <c r="F5" s="1">
        <v>0.9</v>
      </c>
      <c r="G5" s="1">
        <v>86</v>
      </c>
      <c r="H5" s="16">
        <f t="shared" si="1"/>
        <v>0.94899999999999995</v>
      </c>
      <c r="I5" s="16">
        <f t="shared" si="2"/>
        <v>1</v>
      </c>
      <c r="J5" s="1">
        <f t="shared" si="3"/>
        <v>-7.3999999999999996E-2</v>
      </c>
      <c r="K5" s="1">
        <f t="shared" si="4"/>
        <v>0</v>
      </c>
      <c r="L5" s="32">
        <f>IF(K5="","",Constants!$A$3+K5)</f>
        <v>-1</v>
      </c>
      <c r="M5" s="32">
        <f t="shared" si="0"/>
        <v>1</v>
      </c>
      <c r="N5" s="1" t="s">
        <v>28</v>
      </c>
      <c r="Q5" s="37">
        <v>45333</v>
      </c>
      <c r="R5" s="32">
        <v>2.5</v>
      </c>
      <c r="S5" s="1" t="s">
        <v>33</v>
      </c>
    </row>
    <row r="6" spans="1:23" ht="45.75" customHeight="1" x14ac:dyDescent="0.25">
      <c r="A6" s="1">
        <v>2308</v>
      </c>
      <c r="B6" s="12">
        <v>45148</v>
      </c>
      <c r="C6" s="1">
        <v>-0.79500000000000004</v>
      </c>
      <c r="D6" s="1">
        <v>0.89500000000000002</v>
      </c>
      <c r="E6" s="1">
        <v>0.23</v>
      </c>
      <c r="F6" s="1">
        <v>0.90400000000000003</v>
      </c>
      <c r="G6" s="1">
        <v>93</v>
      </c>
      <c r="H6" s="16">
        <f t="shared" si="1"/>
        <v>0.79500000000000004</v>
      </c>
      <c r="I6" s="16">
        <f t="shared" si="2"/>
        <v>0.79999999999999993</v>
      </c>
      <c r="J6" s="1">
        <f t="shared" si="3"/>
        <v>-0.23</v>
      </c>
      <c r="K6" s="1">
        <f t="shared" si="4"/>
        <v>-0.2</v>
      </c>
      <c r="L6" s="32">
        <f>IF(K6="","",Constants!$A$3+K6)</f>
        <v>-1.2</v>
      </c>
      <c r="M6" s="32">
        <f t="shared" si="0"/>
        <v>0.79999999999999993</v>
      </c>
      <c r="N6" s="1" t="s">
        <v>31</v>
      </c>
      <c r="Q6" s="37">
        <v>45413</v>
      </c>
      <c r="R6" s="32">
        <v>6</v>
      </c>
      <c r="S6" s="1" t="s">
        <v>35</v>
      </c>
    </row>
    <row r="7" spans="1:23" ht="30" x14ac:dyDescent="0.25">
      <c r="A7" s="1">
        <v>2309</v>
      </c>
      <c r="B7" s="12">
        <v>45176</v>
      </c>
      <c r="C7" s="1">
        <v>-0.60299999999999998</v>
      </c>
      <c r="D7" s="1">
        <v>0.97399999999999998</v>
      </c>
      <c r="E7" s="1">
        <v>0.42299999999999999</v>
      </c>
      <c r="F7" s="1">
        <v>0.97399999999999998</v>
      </c>
      <c r="G7" s="1">
        <v>97</v>
      </c>
      <c r="H7" s="16">
        <f t="shared" si="1"/>
        <v>0.60299999999999998</v>
      </c>
      <c r="I7" s="16">
        <f t="shared" si="2"/>
        <v>0.7</v>
      </c>
      <c r="J7" s="1">
        <f t="shared" si="3"/>
        <v>-0.42299999999999999</v>
      </c>
      <c r="K7" s="1">
        <f t="shared" si="4"/>
        <v>-0.4</v>
      </c>
      <c r="L7" s="32">
        <f>IF(K7="","",Constants!$A$3+K7)</f>
        <v>-1.4</v>
      </c>
      <c r="M7" s="32">
        <f t="shared" si="0"/>
        <v>0.7</v>
      </c>
      <c r="N7" s="1" t="s">
        <v>28</v>
      </c>
      <c r="Q7" s="37">
        <v>45414</v>
      </c>
      <c r="R7" s="32">
        <v>4.5</v>
      </c>
      <c r="S7" s="1" t="s">
        <v>59</v>
      </c>
    </row>
    <row r="8" spans="1:23" x14ac:dyDescent="0.25">
      <c r="A8" s="1">
        <v>2310</v>
      </c>
      <c r="B8" s="12">
        <v>45204</v>
      </c>
      <c r="C8" s="1">
        <v>-0.752</v>
      </c>
      <c r="D8" s="1">
        <v>1.0149999999999999</v>
      </c>
      <c r="E8" s="1">
        <v>0.27300000000000002</v>
      </c>
      <c r="F8" s="1">
        <v>1.026</v>
      </c>
      <c r="G8" s="1">
        <v>81</v>
      </c>
      <c r="H8" s="16">
        <f t="shared" si="1"/>
        <v>0.752</v>
      </c>
      <c r="I8" s="16">
        <f t="shared" si="2"/>
        <v>0.79999999999999993</v>
      </c>
      <c r="J8" s="1">
        <f t="shared" si="3"/>
        <v>-0.27300000000000002</v>
      </c>
      <c r="K8" s="1">
        <f t="shared" si="4"/>
        <v>-0.2</v>
      </c>
      <c r="L8" s="32">
        <f>IF(K8="","",Constants!$A$3+K8)</f>
        <v>-1.2</v>
      </c>
      <c r="M8" s="32">
        <f t="shared" si="0"/>
        <v>0.79999999999999993</v>
      </c>
      <c r="N8" s="1" t="s">
        <v>31</v>
      </c>
      <c r="Q8" s="37">
        <v>45446</v>
      </c>
      <c r="R8" s="32">
        <v>3</v>
      </c>
      <c r="S8" s="1" t="s">
        <v>32</v>
      </c>
    </row>
    <row r="9" spans="1:23" ht="30" x14ac:dyDescent="0.25">
      <c r="A9" s="1">
        <v>2311</v>
      </c>
      <c r="B9" s="12">
        <v>45232</v>
      </c>
      <c r="C9" s="1">
        <v>-0.29199999999999998</v>
      </c>
      <c r="D9" s="1">
        <v>0.72799999999999998</v>
      </c>
      <c r="E9" s="1">
        <v>0.73699999999999999</v>
      </c>
      <c r="F9" s="1">
        <v>0.73499999999999999</v>
      </c>
      <c r="G9" s="1">
        <v>100</v>
      </c>
      <c r="H9" s="16">
        <f t="shared" si="1"/>
        <v>0.29199999999999998</v>
      </c>
      <c r="I9" s="16">
        <f t="shared" si="2"/>
        <v>0.30000000000000004</v>
      </c>
      <c r="J9" s="1">
        <f t="shared" si="3"/>
        <v>-0.73699999999999999</v>
      </c>
      <c r="K9" s="1">
        <f t="shared" si="4"/>
        <v>-0.7</v>
      </c>
      <c r="L9" s="32">
        <f>IF(K9="","",Constants!$A$3+K9)</f>
        <v>-1.7</v>
      </c>
      <c r="M9" s="32">
        <f t="shared" si="0"/>
        <v>0.30000000000000004</v>
      </c>
      <c r="N9" s="1" t="s">
        <v>28</v>
      </c>
      <c r="Q9" s="37">
        <v>45497</v>
      </c>
      <c r="R9" s="32">
        <v>-4.5</v>
      </c>
      <c r="S9" s="1" t="s">
        <v>60</v>
      </c>
    </row>
    <row r="10" spans="1:23" ht="30" x14ac:dyDescent="0.25">
      <c r="A10" s="1">
        <v>2312</v>
      </c>
      <c r="B10" s="12">
        <v>45260</v>
      </c>
      <c r="C10" s="1">
        <v>-0.155</v>
      </c>
      <c r="D10" s="1">
        <v>0.68300000000000005</v>
      </c>
      <c r="E10" s="1">
        <v>0.876</v>
      </c>
      <c r="F10" s="1">
        <v>0.69</v>
      </c>
      <c r="G10" s="1">
        <v>58</v>
      </c>
      <c r="H10" s="16">
        <f t="shared" si="1"/>
        <v>0.155</v>
      </c>
      <c r="I10" s="16">
        <f t="shared" si="2"/>
        <v>0.2</v>
      </c>
      <c r="J10" s="1">
        <f t="shared" si="3"/>
        <v>-0.876</v>
      </c>
      <c r="K10" s="1">
        <f t="shared" si="4"/>
        <v>-0.8</v>
      </c>
      <c r="L10" s="32">
        <f>IF(K10="","",Constants!$A$3+K10)</f>
        <v>-1.8</v>
      </c>
      <c r="M10" s="32">
        <f t="shared" si="0"/>
        <v>0.2</v>
      </c>
      <c r="N10" s="1" t="s">
        <v>31</v>
      </c>
      <c r="Q10" s="37">
        <v>45507</v>
      </c>
      <c r="R10" s="32">
        <v>-3.5</v>
      </c>
      <c r="S10" s="1" t="s">
        <v>57</v>
      </c>
    </row>
    <row r="11" spans="1:23" x14ac:dyDescent="0.25">
      <c r="A11" s="1">
        <v>2313</v>
      </c>
      <c r="B11" s="12">
        <v>45288</v>
      </c>
      <c r="C11" s="1">
        <v>-0.33400000000000002</v>
      </c>
      <c r="D11" s="1">
        <v>0.84699999999999998</v>
      </c>
      <c r="E11" s="1">
        <v>0.69499999999999995</v>
      </c>
      <c r="F11" s="1">
        <v>0.85599999999999998</v>
      </c>
      <c r="G11" s="1">
        <v>82</v>
      </c>
      <c r="H11" s="16">
        <f t="shared" si="1"/>
        <v>0.33400000000000002</v>
      </c>
      <c r="I11" s="16">
        <f t="shared" si="2"/>
        <v>0.4</v>
      </c>
      <c r="J11" s="1">
        <f t="shared" si="3"/>
        <v>-0.69499999999999995</v>
      </c>
      <c r="K11" s="1">
        <f t="shared" si="4"/>
        <v>-0.6</v>
      </c>
      <c r="L11" s="32">
        <f>IF(K11="","",Constants!$A$3+K11)</f>
        <v>-1.6</v>
      </c>
      <c r="M11" s="32">
        <f t="shared" si="0"/>
        <v>0.4</v>
      </c>
      <c r="N11" s="1" t="s">
        <v>31</v>
      </c>
      <c r="Q11" s="37">
        <v>45562</v>
      </c>
      <c r="R11" s="32">
        <v>-3</v>
      </c>
      <c r="S11" s="1" t="s">
        <v>61</v>
      </c>
    </row>
    <row r="12" spans="1:23" x14ac:dyDescent="0.25">
      <c r="A12" s="1">
        <v>2401</v>
      </c>
      <c r="B12" s="12">
        <v>45316</v>
      </c>
      <c r="C12" s="1">
        <v>-0.55100000000000005</v>
      </c>
      <c r="D12" s="1">
        <v>0.95199999999999996</v>
      </c>
      <c r="E12" s="1">
        <v>0.47599999999999998</v>
      </c>
      <c r="F12" s="1">
        <v>0.96199999999999997</v>
      </c>
      <c r="G12" s="1">
        <v>43</v>
      </c>
      <c r="H12" s="16">
        <f t="shared" si="1"/>
        <v>0.55100000000000005</v>
      </c>
      <c r="I12" s="16">
        <f t="shared" si="2"/>
        <v>0.6</v>
      </c>
      <c r="J12" s="1">
        <f t="shared" si="3"/>
        <v>-0.47599999999999998</v>
      </c>
      <c r="K12" s="1">
        <f t="shared" si="4"/>
        <v>-0.4</v>
      </c>
      <c r="L12" s="32">
        <f>IF(K12="","",Constants!$A$3+K12)</f>
        <v>-1.4</v>
      </c>
      <c r="M12" s="32">
        <f t="shared" si="0"/>
        <v>0.6</v>
      </c>
      <c r="N12" s="1" t="s">
        <v>28</v>
      </c>
      <c r="Q12" s="37">
        <v>45589</v>
      </c>
      <c r="R12" s="32">
        <v>5</v>
      </c>
      <c r="S12" s="1" t="s">
        <v>32</v>
      </c>
    </row>
    <row r="13" spans="1:23" x14ac:dyDescent="0.25">
      <c r="A13" s="1">
        <v>2402</v>
      </c>
      <c r="B13" s="12">
        <v>45344</v>
      </c>
      <c r="C13" s="1">
        <v>-0.4</v>
      </c>
      <c r="D13" s="1">
        <v>0.76800000000000002</v>
      </c>
      <c r="E13" s="1">
        <v>0.628</v>
      </c>
      <c r="F13" s="1">
        <v>0.77600000000000002</v>
      </c>
      <c r="G13" s="1">
        <v>50</v>
      </c>
      <c r="H13" s="16">
        <f t="shared" si="1"/>
        <v>0.4</v>
      </c>
      <c r="I13" s="16">
        <f t="shared" si="2"/>
        <v>0.4</v>
      </c>
      <c r="J13" s="1">
        <f t="shared" si="3"/>
        <v>-0.628</v>
      </c>
      <c r="K13" s="1">
        <f t="shared" si="4"/>
        <v>-0.6</v>
      </c>
      <c r="L13" s="32">
        <f>IF(K13="","",Constants!$A$3+K13)</f>
        <v>-1.6</v>
      </c>
      <c r="M13" s="32">
        <f t="shared" si="0"/>
        <v>0.4</v>
      </c>
      <c r="N13" s="1" t="s">
        <v>31</v>
      </c>
      <c r="Q13" s="37">
        <v>45601</v>
      </c>
      <c r="R13" s="32">
        <v>4</v>
      </c>
      <c r="S13" s="1" t="s">
        <v>30</v>
      </c>
    </row>
    <row r="14" spans="1:23" x14ac:dyDescent="0.25">
      <c r="A14" s="1">
        <v>2403</v>
      </c>
      <c r="B14" s="12">
        <v>45372</v>
      </c>
      <c r="C14" s="1">
        <v>-0.436</v>
      </c>
      <c r="D14" s="1">
        <v>0.96099999999999997</v>
      </c>
      <c r="E14" s="1">
        <v>0.59199999999999997</v>
      </c>
      <c r="F14" s="1">
        <v>0.97099999999999997</v>
      </c>
      <c r="G14" s="1">
        <v>73</v>
      </c>
      <c r="H14" s="16">
        <f t="shared" si="1"/>
        <v>0.436</v>
      </c>
      <c r="I14" s="16">
        <f t="shared" si="2"/>
        <v>0.5</v>
      </c>
      <c r="J14" s="1">
        <f t="shared" si="3"/>
        <v>-0.59199999999999997</v>
      </c>
      <c r="K14" s="1">
        <f t="shared" si="4"/>
        <v>-0.5</v>
      </c>
      <c r="L14" s="32">
        <f>IF(K14="","",Constants!$A$3+K14)</f>
        <v>-1.5</v>
      </c>
      <c r="M14" s="32">
        <f t="shared" si="0"/>
        <v>0.5</v>
      </c>
      <c r="N14" s="1" t="s">
        <v>31</v>
      </c>
      <c r="Q14" s="37">
        <v>45659</v>
      </c>
      <c r="R14" s="32">
        <v>-4</v>
      </c>
      <c r="S14" s="1" t="s">
        <v>61</v>
      </c>
    </row>
    <row r="15" spans="1:23" x14ac:dyDescent="0.25">
      <c r="A15" s="1">
        <v>2404</v>
      </c>
      <c r="B15" s="12">
        <v>45400</v>
      </c>
      <c r="C15" s="1">
        <v>-0.56399999999999995</v>
      </c>
      <c r="D15" s="1">
        <v>0.92600000000000005</v>
      </c>
      <c r="E15" s="1">
        <v>0.46300000000000002</v>
      </c>
      <c r="F15" s="1">
        <v>0.93500000000000005</v>
      </c>
      <c r="G15" s="1">
        <v>82</v>
      </c>
      <c r="H15" s="16">
        <f t="shared" si="1"/>
        <v>0.56399999999999995</v>
      </c>
      <c r="I15" s="16">
        <f t="shared" si="2"/>
        <v>0.6</v>
      </c>
      <c r="J15" s="1">
        <f t="shared" si="3"/>
        <v>-0.46300000000000002</v>
      </c>
      <c r="K15" s="1">
        <f t="shared" si="4"/>
        <v>-0.4</v>
      </c>
      <c r="L15" s="32">
        <f>IF(K15="","",Constants!$A$3+K15)</f>
        <v>-1.4</v>
      </c>
      <c r="M15" s="32">
        <f t="shared" si="0"/>
        <v>0.6</v>
      </c>
      <c r="N15" s="1" t="s">
        <v>28</v>
      </c>
      <c r="Q15" s="50">
        <v>45806</v>
      </c>
      <c r="R15" s="51">
        <v>3</v>
      </c>
      <c r="S15" s="52" t="s">
        <v>30</v>
      </c>
    </row>
    <row r="16" spans="1:23" x14ac:dyDescent="0.25">
      <c r="A16" s="1">
        <v>2405</v>
      </c>
      <c r="B16" s="12">
        <v>45428</v>
      </c>
      <c r="C16" s="1">
        <v>-0.40699999999999997</v>
      </c>
      <c r="D16" s="1">
        <v>0.93100000000000005</v>
      </c>
      <c r="E16" s="1">
        <v>0.621</v>
      </c>
      <c r="F16" s="1">
        <v>0.94099999999999995</v>
      </c>
      <c r="G16" s="1">
        <v>45</v>
      </c>
      <c r="H16" s="16">
        <f t="shared" si="1"/>
        <v>0.40699999999999997</v>
      </c>
      <c r="I16" s="16">
        <f t="shared" si="2"/>
        <v>0.5</v>
      </c>
      <c r="J16" s="1">
        <f t="shared" si="3"/>
        <v>-0.621</v>
      </c>
      <c r="K16" s="1">
        <f t="shared" si="4"/>
        <v>-0.6</v>
      </c>
      <c r="L16" s="32">
        <f>IF(K16="","",Constants!$A$3+K16)</f>
        <v>-1.6</v>
      </c>
      <c r="M16" s="32">
        <f t="shared" si="0"/>
        <v>0.5</v>
      </c>
      <c r="N16" s="1" t="s">
        <v>31</v>
      </c>
      <c r="Q16" s="40"/>
      <c r="R16" s="41"/>
      <c r="S16" s="42"/>
    </row>
    <row r="17" spans="1:15" x14ac:dyDescent="0.25">
      <c r="A17" s="1">
        <v>2406</v>
      </c>
      <c r="B17" s="12">
        <v>45456</v>
      </c>
      <c r="C17" s="1">
        <v>-0.51500000000000001</v>
      </c>
      <c r="D17" s="1">
        <v>0.97</v>
      </c>
      <c r="E17" s="1">
        <v>0.51200000000000001</v>
      </c>
      <c r="F17" s="1">
        <v>0.98</v>
      </c>
      <c r="G17" s="1">
        <v>61</v>
      </c>
      <c r="H17" s="16">
        <f t="shared" si="1"/>
        <v>0.51500000000000001</v>
      </c>
      <c r="I17" s="16">
        <f t="shared" si="2"/>
        <v>0.6</v>
      </c>
      <c r="J17" s="1">
        <f t="shared" si="3"/>
        <v>-0.51200000000000001</v>
      </c>
      <c r="K17" s="1">
        <f t="shared" si="4"/>
        <v>-0.5</v>
      </c>
      <c r="L17" s="32">
        <f>IF(K17="","",Constants!$A$3+K17)</f>
        <v>-1.5</v>
      </c>
      <c r="M17" s="32">
        <f t="shared" si="0"/>
        <v>0.6</v>
      </c>
      <c r="N17" s="1" t="s">
        <v>31</v>
      </c>
    </row>
    <row r="18" spans="1:15" x14ac:dyDescent="0.25">
      <c r="A18" s="1">
        <v>2407</v>
      </c>
      <c r="B18" s="12">
        <v>45484</v>
      </c>
      <c r="C18" s="1">
        <v>-0.60799999999999998</v>
      </c>
      <c r="D18" s="1">
        <v>0.96699999999999997</v>
      </c>
      <c r="E18" s="1">
        <v>0.41799999999999998</v>
      </c>
      <c r="F18" s="1">
        <v>0.97699999999999998</v>
      </c>
      <c r="G18" s="1">
        <v>54</v>
      </c>
      <c r="H18" s="16">
        <f t="shared" si="1"/>
        <v>0.60799999999999998</v>
      </c>
      <c r="I18" s="16">
        <f t="shared" si="2"/>
        <v>0.7</v>
      </c>
      <c r="J18" s="1">
        <f t="shared" si="3"/>
        <v>-0.41799999999999998</v>
      </c>
      <c r="K18" s="1">
        <f t="shared" si="4"/>
        <v>-0.4</v>
      </c>
      <c r="L18" s="32">
        <f>IF(K18="","",Constants!$A$3+K18)</f>
        <v>-1.4</v>
      </c>
      <c r="M18" s="32">
        <f t="shared" si="0"/>
        <v>0.7</v>
      </c>
      <c r="N18" s="1" t="s">
        <v>28</v>
      </c>
    </row>
    <row r="19" spans="1:15" x14ac:dyDescent="0.25">
      <c r="A19" s="1">
        <v>2408</v>
      </c>
      <c r="B19" s="12">
        <v>45512</v>
      </c>
      <c r="C19" s="1">
        <v>-0.20100000000000001</v>
      </c>
      <c r="D19" s="1">
        <v>1.038</v>
      </c>
      <c r="E19" s="1">
        <v>0.83</v>
      </c>
      <c r="F19" s="1">
        <v>1.0489999999999999</v>
      </c>
      <c r="G19" s="1">
        <v>7</v>
      </c>
      <c r="H19" s="16">
        <f t="shared" si="1"/>
        <v>0.20100000000000001</v>
      </c>
      <c r="I19" s="16">
        <f t="shared" si="2"/>
        <v>0.30000000000000004</v>
      </c>
      <c r="J19" s="1">
        <f t="shared" si="3"/>
        <v>-0.83</v>
      </c>
      <c r="K19" s="1">
        <f t="shared" si="4"/>
        <v>-0.8</v>
      </c>
      <c r="L19" s="32">
        <f>IF(K19="","",Constants!$A$3+K19)</f>
        <v>-1.8</v>
      </c>
      <c r="M19" s="32">
        <f t="shared" si="0"/>
        <v>0.30000000000000004</v>
      </c>
      <c r="N19" s="1" t="s">
        <v>28</v>
      </c>
    </row>
    <row r="20" spans="1:15" x14ac:dyDescent="0.25">
      <c r="A20" s="1">
        <v>2409</v>
      </c>
      <c r="B20" s="12">
        <v>45540</v>
      </c>
      <c r="C20" s="1">
        <v>0.20300000000000001</v>
      </c>
      <c r="D20" s="1">
        <v>0.64500000000000002</v>
      </c>
      <c r="E20" s="1">
        <v>1.238</v>
      </c>
      <c r="F20" s="1">
        <v>0.65200000000000002</v>
      </c>
      <c r="G20" s="1">
        <v>99</v>
      </c>
      <c r="H20" s="16">
        <f t="shared" si="1"/>
        <v>-0.20300000000000001</v>
      </c>
      <c r="I20" s="16">
        <f t="shared" si="2"/>
        <v>-0.2</v>
      </c>
      <c r="J20" s="1">
        <f t="shared" si="3"/>
        <v>-1.238</v>
      </c>
      <c r="K20" s="1">
        <f t="shared" si="4"/>
        <v>-1.2</v>
      </c>
      <c r="L20" s="32">
        <f>IF(K20="","",Constants!$A$3+K20)</f>
        <v>-2.2000000000000002</v>
      </c>
      <c r="M20" s="32">
        <f t="shared" si="0"/>
        <v>-0.2</v>
      </c>
      <c r="N20" s="1" t="s">
        <v>28</v>
      </c>
    </row>
    <row r="21" spans="1:15" x14ac:dyDescent="0.25">
      <c r="A21" s="1">
        <v>2410</v>
      </c>
      <c r="B21" s="12">
        <v>45568</v>
      </c>
      <c r="C21" s="1">
        <v>-1.2390000000000001</v>
      </c>
      <c r="D21" s="1">
        <v>0.46700000000000003</v>
      </c>
      <c r="E21" s="1">
        <v>-0.219</v>
      </c>
      <c r="F21" s="1">
        <v>0.47099999999999997</v>
      </c>
      <c r="G21" s="1">
        <v>3</v>
      </c>
      <c r="H21" s="16">
        <f t="shared" si="1"/>
        <v>1.2390000000000001</v>
      </c>
      <c r="I21" s="16">
        <f t="shared" si="2"/>
        <v>1.3</v>
      </c>
      <c r="J21" s="1">
        <f t="shared" si="3"/>
        <v>0.219</v>
      </c>
      <c r="K21" s="1">
        <f t="shared" si="4"/>
        <v>0.30000000000000004</v>
      </c>
      <c r="L21" s="32">
        <f>IF(K21="","",Constants!$A$3+K21)</f>
        <v>-0.7</v>
      </c>
      <c r="M21" s="32">
        <f t="shared" si="0"/>
        <v>1.3</v>
      </c>
      <c r="N21" s="1" t="s">
        <v>28</v>
      </c>
    </row>
    <row r="22" spans="1:15" x14ac:dyDescent="0.25">
      <c r="A22" s="1">
        <v>2411</v>
      </c>
      <c r="B22" s="12">
        <v>45596</v>
      </c>
      <c r="C22" s="1">
        <v>-0.184</v>
      </c>
      <c r="D22" s="1">
        <v>0.77800000000000002</v>
      </c>
      <c r="E22" s="1">
        <v>0.84699999999999998</v>
      </c>
      <c r="F22" s="1">
        <v>0.78600000000000003</v>
      </c>
      <c r="G22" s="1">
        <v>116</v>
      </c>
      <c r="H22" s="16">
        <f t="shared" si="1"/>
        <v>0.184</v>
      </c>
      <c r="I22" s="16">
        <f t="shared" si="2"/>
        <v>0.2</v>
      </c>
      <c r="J22" s="1">
        <f t="shared" si="3"/>
        <v>-0.84699999999999998</v>
      </c>
      <c r="K22" s="1">
        <f t="shared" si="4"/>
        <v>-0.8</v>
      </c>
      <c r="L22" s="32">
        <f>IF(K22="","",Constants!$A$3+K22)</f>
        <v>-1.8</v>
      </c>
      <c r="M22" s="32">
        <f t="shared" si="0"/>
        <v>0.2</v>
      </c>
      <c r="N22" s="1" t="s">
        <v>28</v>
      </c>
    </row>
    <row r="23" spans="1:15" x14ac:dyDescent="0.25">
      <c r="A23" s="1">
        <v>2412</v>
      </c>
      <c r="B23" s="12">
        <v>45624</v>
      </c>
      <c r="C23" s="1">
        <v>5.0000000000000001E-3</v>
      </c>
      <c r="D23" s="1">
        <v>0.69099999999999995</v>
      </c>
      <c r="E23" s="1">
        <v>1.038</v>
      </c>
      <c r="F23" s="1">
        <v>0.69899999999999995</v>
      </c>
      <c r="G23" s="1">
        <v>94</v>
      </c>
      <c r="H23" s="16">
        <f t="shared" si="1"/>
        <v>-5.0000000000000001E-3</v>
      </c>
      <c r="I23" s="16">
        <f t="shared" si="2"/>
        <v>0</v>
      </c>
      <c r="J23" s="1">
        <f t="shared" si="3"/>
        <v>-1.038</v>
      </c>
      <c r="K23" s="1">
        <f t="shared" si="4"/>
        <v>-1</v>
      </c>
      <c r="L23" s="32">
        <f>IF(K23="","",Constants!$A$3+K23)</f>
        <v>-2</v>
      </c>
      <c r="M23" s="32">
        <f t="shared" si="0"/>
        <v>0</v>
      </c>
      <c r="N23" s="1" t="s">
        <v>31</v>
      </c>
    </row>
    <row r="24" spans="1:15" x14ac:dyDescent="0.25">
      <c r="A24" s="1">
        <v>2413</v>
      </c>
      <c r="B24" s="12">
        <v>45652</v>
      </c>
      <c r="C24" s="1">
        <v>-0.192</v>
      </c>
      <c r="D24" s="1">
        <v>0.73</v>
      </c>
      <c r="E24" s="1">
        <v>0.83799999999999997</v>
      </c>
      <c r="F24" s="1">
        <v>0.73699999999999999</v>
      </c>
      <c r="G24" s="1">
        <v>91</v>
      </c>
      <c r="H24" s="16">
        <f t="shared" si="1"/>
        <v>0.192</v>
      </c>
      <c r="I24" s="16">
        <f t="shared" si="2"/>
        <v>0.2</v>
      </c>
      <c r="J24" s="1">
        <f t="shared" si="3"/>
        <v>-0.83799999999999997</v>
      </c>
      <c r="K24" s="1">
        <f t="shared" si="4"/>
        <v>-0.8</v>
      </c>
      <c r="L24" s="32">
        <f>IF(K24="","",Constants!$A$3+K24)</f>
        <v>-1.8</v>
      </c>
      <c r="M24" s="32">
        <f>IF(I24="","",I24)</f>
        <v>0.2</v>
      </c>
      <c r="N24" s="1" t="s">
        <v>31</v>
      </c>
    </row>
    <row r="25" spans="1:15" x14ac:dyDescent="0.25">
      <c r="A25" s="1">
        <v>2501</v>
      </c>
      <c r="B25" s="12">
        <v>45680</v>
      </c>
      <c r="C25" s="1">
        <v>0.19700000000000001</v>
      </c>
      <c r="D25" s="1">
        <v>0.81200000000000006</v>
      </c>
      <c r="E25" s="1">
        <v>1.2310000000000001</v>
      </c>
      <c r="F25" s="1">
        <v>0.82099999999999995</v>
      </c>
      <c r="G25" s="1">
        <v>76</v>
      </c>
      <c r="H25" s="16">
        <f t="shared" si="1"/>
        <v>-0.19700000000000001</v>
      </c>
      <c r="I25" s="16">
        <f t="shared" si="2"/>
        <v>-0.1</v>
      </c>
      <c r="J25" s="1">
        <f t="shared" si="3"/>
        <v>-1.2310000000000001</v>
      </c>
      <c r="K25" s="1">
        <f t="shared" si="4"/>
        <v>-1.2</v>
      </c>
      <c r="L25" s="32">
        <f>IF(K25="","",Constants!$A$3+K25)</f>
        <v>-2.2000000000000002</v>
      </c>
      <c r="M25" s="32">
        <v>-0.2</v>
      </c>
      <c r="N25" s="1" t="s">
        <v>28</v>
      </c>
    </row>
    <row r="26" spans="1:15" x14ac:dyDescent="0.25">
      <c r="A26" s="1">
        <v>2502</v>
      </c>
      <c r="B26" s="12">
        <v>45708</v>
      </c>
      <c r="C26" s="1">
        <v>0.218</v>
      </c>
      <c r="D26" s="1">
        <v>0.94299999999999995</v>
      </c>
      <c r="E26" s="1">
        <v>1.2529999999999999</v>
      </c>
      <c r="F26" s="1">
        <v>0.95199999999999996</v>
      </c>
      <c r="G26" s="1">
        <v>40</v>
      </c>
      <c r="H26" s="16">
        <f t="shared" si="1"/>
        <v>-0.218</v>
      </c>
      <c r="I26" s="16">
        <f t="shared" si="2"/>
        <v>-0.2</v>
      </c>
      <c r="J26" s="1">
        <f t="shared" si="3"/>
        <v>-1.2529999999999999</v>
      </c>
      <c r="K26" s="1">
        <f t="shared" si="4"/>
        <v>-1.2</v>
      </c>
      <c r="L26" s="32">
        <f>IF(K26="","",Constants!$A$3+K26)</f>
        <v>-2.2000000000000002</v>
      </c>
      <c r="M26" s="32">
        <f t="shared" si="0"/>
        <v>-0.2</v>
      </c>
      <c r="N26" s="1" t="s">
        <v>31</v>
      </c>
    </row>
    <row r="27" spans="1:15" ht="45" x14ac:dyDescent="0.25">
      <c r="A27" s="1">
        <v>2503</v>
      </c>
      <c r="B27" s="12">
        <v>45736</v>
      </c>
      <c r="C27" s="1">
        <v>0.218</v>
      </c>
      <c r="D27" s="1">
        <v>0.94299999999999995</v>
      </c>
      <c r="E27" s="1">
        <v>1.2529999999999999</v>
      </c>
      <c r="F27" s="1">
        <v>0.95199999999999996</v>
      </c>
      <c r="G27" s="1">
        <v>40</v>
      </c>
      <c r="H27" s="16">
        <f t="shared" ref="H27:H32" si="5">IF(C27="","",-C27)</f>
        <v>-0.218</v>
      </c>
      <c r="I27" s="16">
        <f t="shared" ref="I27:I32" si="6">IF(H27="","",IF(H27&lt;0,TRUNC(IF(H27="","",H27),1),ROUNDUP(IF(H27="","",H27),1)))</f>
        <v>-0.2</v>
      </c>
      <c r="J27" s="1">
        <f>IF(E27="","",-E27)</f>
        <v>-1.2529999999999999</v>
      </c>
      <c r="K27" s="1">
        <f t="shared" ref="K27:K32" si="7">IF(J27="","",IF(J27&lt;0,TRUNC(IF(J27="","",J27),1),ROUNDUP(IF(J27="","",J27),1)))</f>
        <v>-1.2</v>
      </c>
      <c r="L27" s="32">
        <f>IF(K27="","",Constants!$A$3+K27)</f>
        <v>-2.2000000000000002</v>
      </c>
      <c r="M27" s="32">
        <f t="shared" ref="M27:M32" si="8">IF(I27="","",I27)</f>
        <v>-0.2</v>
      </c>
      <c r="N27" s="1" t="s">
        <v>31</v>
      </c>
      <c r="O27" s="1" t="s">
        <v>62</v>
      </c>
    </row>
    <row r="28" spans="1:15" ht="15" customHeight="1" x14ac:dyDescent="0.25">
      <c r="A28" s="1">
        <v>2504</v>
      </c>
      <c r="B28" s="48">
        <v>45764</v>
      </c>
      <c r="C28" s="1">
        <v>0.153</v>
      </c>
      <c r="D28" s="1">
        <v>0.92300000000000004</v>
      </c>
      <c r="E28" s="1">
        <v>1.1870000000000001</v>
      </c>
      <c r="F28" s="1" t="s">
        <v>63</v>
      </c>
      <c r="G28" s="1">
        <v>70</v>
      </c>
      <c r="H28" s="16">
        <f t="shared" si="5"/>
        <v>-0.153</v>
      </c>
      <c r="I28" s="16">
        <f t="shared" si="6"/>
        <v>-0.1</v>
      </c>
      <c r="J28" s="1">
        <f t="shared" ref="J28:J32" si="9">IF(E28="","",-E28)</f>
        <v>-1.1870000000000001</v>
      </c>
      <c r="K28" s="1">
        <f t="shared" si="7"/>
        <v>-1.1000000000000001</v>
      </c>
      <c r="L28" s="32">
        <f>IF(K28="","",Constants!$A$3+K28)</f>
        <v>-2.1</v>
      </c>
      <c r="M28" s="32">
        <f t="shared" si="8"/>
        <v>-0.1</v>
      </c>
      <c r="N28" s="1" t="s">
        <v>28</v>
      </c>
    </row>
    <row r="29" spans="1:15" ht="15" customHeight="1" x14ac:dyDescent="0.25">
      <c r="A29" s="1">
        <v>2505</v>
      </c>
      <c r="B29" s="48">
        <v>45792</v>
      </c>
      <c r="C29" s="1">
        <v>-0.155</v>
      </c>
      <c r="D29" s="1">
        <v>0.71299999999999997</v>
      </c>
      <c r="E29" s="1">
        <v>0.876</v>
      </c>
      <c r="F29" s="1">
        <v>0.72</v>
      </c>
      <c r="G29" s="1">
        <v>66</v>
      </c>
      <c r="H29" s="16">
        <f t="shared" si="5"/>
        <v>0.155</v>
      </c>
      <c r="I29" s="16">
        <f t="shared" si="6"/>
        <v>0.2</v>
      </c>
      <c r="J29" s="1">
        <f t="shared" si="9"/>
        <v>-0.876</v>
      </c>
      <c r="K29" s="1">
        <f t="shared" si="7"/>
        <v>-0.8</v>
      </c>
      <c r="L29" s="32">
        <f>IF(K29="","",Constants!$A$3+K29)</f>
        <v>-1.8</v>
      </c>
      <c r="M29" s="32">
        <f t="shared" si="8"/>
        <v>0.2</v>
      </c>
      <c r="N29" s="1" t="s">
        <v>28</v>
      </c>
    </row>
    <row r="30" spans="1:15" ht="15" customHeight="1" x14ac:dyDescent="0.25">
      <c r="A30" s="1">
        <v>2506</v>
      </c>
      <c r="B30" s="48">
        <v>45820</v>
      </c>
      <c r="C30" s="1">
        <v>-3.5000000000000003E-2</v>
      </c>
      <c r="D30" s="1">
        <v>0.80200000000000005</v>
      </c>
      <c r="E30" s="1">
        <v>0.998</v>
      </c>
      <c r="F30" s="1">
        <v>0.81</v>
      </c>
      <c r="G30" s="1">
        <v>68</v>
      </c>
      <c r="H30" s="16">
        <f t="shared" si="5"/>
        <v>3.5000000000000003E-2</v>
      </c>
      <c r="I30" s="16">
        <f t="shared" si="6"/>
        <v>0.1</v>
      </c>
      <c r="J30" s="1">
        <f t="shared" si="9"/>
        <v>-0.998</v>
      </c>
      <c r="K30" s="1">
        <f t="shared" si="7"/>
        <v>-0.9</v>
      </c>
      <c r="L30" s="32">
        <f>IF(K30="","",Constants!$A$3+K30)</f>
        <v>-1.9</v>
      </c>
      <c r="M30" s="32">
        <f t="shared" si="8"/>
        <v>0.1</v>
      </c>
      <c r="N30" s="1" t="s">
        <v>28</v>
      </c>
      <c r="O30" s="1" t="s">
        <v>91</v>
      </c>
    </row>
    <row r="31" spans="1:15" ht="15" customHeight="1" x14ac:dyDescent="0.25">
      <c r="A31" s="1">
        <v>2507</v>
      </c>
      <c r="B31" s="48">
        <v>45848</v>
      </c>
      <c r="C31" s="1">
        <v>-9.7000000000000003E-2</v>
      </c>
      <c r="D31" s="1">
        <v>0.75700000000000001</v>
      </c>
      <c r="E31" s="1">
        <v>0.93500000000000005</v>
      </c>
      <c r="F31" s="1">
        <v>0.76500000000000001</v>
      </c>
      <c r="G31" s="1">
        <v>70</v>
      </c>
      <c r="H31" s="16">
        <f t="shared" si="5"/>
        <v>9.7000000000000003E-2</v>
      </c>
      <c r="I31" s="16">
        <f t="shared" si="6"/>
        <v>0.1</v>
      </c>
      <c r="J31" s="1">
        <f t="shared" si="9"/>
        <v>-0.93500000000000005</v>
      </c>
      <c r="K31" s="1">
        <f t="shared" si="7"/>
        <v>-0.9</v>
      </c>
      <c r="L31" s="32">
        <f>IF(K31="","",Constants!$A$3+K31)</f>
        <v>-1.9</v>
      </c>
      <c r="M31" s="32">
        <f t="shared" si="8"/>
        <v>0.1</v>
      </c>
      <c r="N31" s="1" t="s">
        <v>31</v>
      </c>
    </row>
    <row r="32" spans="1:15" ht="15" customHeight="1" x14ac:dyDescent="0.25">
      <c r="A32" s="1">
        <v>2508</v>
      </c>
      <c r="B32" s="48">
        <v>45876</v>
      </c>
      <c r="C32" s="1">
        <v>1.6E-2</v>
      </c>
      <c r="D32" s="1">
        <v>0.74099999999999999</v>
      </c>
      <c r="E32" s="1">
        <v>1.0489999999999999</v>
      </c>
      <c r="F32" s="1">
        <v>0.749</v>
      </c>
      <c r="G32" s="1">
        <v>75</v>
      </c>
      <c r="H32" s="16">
        <f t="shared" si="5"/>
        <v>-1.6E-2</v>
      </c>
      <c r="I32" s="16">
        <f t="shared" si="6"/>
        <v>0</v>
      </c>
      <c r="J32" s="1">
        <f t="shared" si="9"/>
        <v>-1.0489999999999999</v>
      </c>
      <c r="K32" s="1">
        <f t="shared" si="7"/>
        <v>-1</v>
      </c>
      <c r="L32" s="32">
        <f>IF(K32="","",Constants!$A$3+K32)</f>
        <v>-2</v>
      </c>
      <c r="M32" s="56">
        <f t="shared" si="8"/>
        <v>0</v>
      </c>
      <c r="N32" s="1" t="s">
        <v>31</v>
      </c>
    </row>
    <row r="33" spans="1:14" ht="15" customHeight="1" x14ac:dyDescent="0.25">
      <c r="A33" s="1">
        <v>2509</v>
      </c>
      <c r="B33" s="48">
        <v>45904</v>
      </c>
      <c r="C33" s="1">
        <v>0.10199999999999999</v>
      </c>
      <c r="D33" s="1">
        <v>0.76900000000000002</v>
      </c>
      <c r="E33" s="1">
        <v>1.1359999999999999</v>
      </c>
      <c r="F33" s="1">
        <v>0.77600000000000002</v>
      </c>
      <c r="G33" s="1">
        <v>94</v>
      </c>
      <c r="H33" s="16">
        <f>IF(C33="","",-C33)</f>
        <v>-0.10199999999999999</v>
      </c>
      <c r="I33" s="16">
        <f>IF(H33="","",IF(H33&lt;0,TRUNC(IF(H33="","",H33),1),ROUNDUP(IF(H33="","",H33),1)))</f>
        <v>-0.1</v>
      </c>
      <c r="J33" s="1">
        <f>IF(E33="","",-E33)</f>
        <v>-1.1359999999999999</v>
      </c>
      <c r="K33" s="1">
        <f>IF(J33="","",IF(J33&lt;0,TRUNC(IF(J33="","",J33),1),ROUNDUP(IF(J33="","",J33),1)))</f>
        <v>-1.1000000000000001</v>
      </c>
      <c r="L33" s="32">
        <f>IF(K33="","",Constants!$A$3+K33)</f>
        <v>-2.1</v>
      </c>
      <c r="M33" s="32">
        <f>IF(I33="","",I33)</f>
        <v>-0.1</v>
      </c>
      <c r="N33" s="1" t="s">
        <v>28</v>
      </c>
    </row>
    <row r="34" spans="1:14" ht="15" customHeight="1" x14ac:dyDescent="0.25">
      <c r="A34" s="1">
        <v>2510</v>
      </c>
      <c r="B34" s="48">
        <v>45929</v>
      </c>
      <c r="C34" s="1">
        <v>0.17</v>
      </c>
      <c r="D34" s="1">
        <v>0.71699999999999997</v>
      </c>
      <c r="E34" s="1">
        <v>1.204</v>
      </c>
      <c r="F34" s="1">
        <v>0.72499999999999998</v>
      </c>
      <c r="G34" s="1">
        <v>105</v>
      </c>
      <c r="H34" s="16">
        <f>IF(C34="","",-C34)</f>
        <v>-0.17</v>
      </c>
      <c r="I34" s="16">
        <f>IF(H34="","",IF(H34&lt;0,TRUNC(IF(H34="","",H34),1),ROUNDUP(IF(H34="","",H34),1)))</f>
        <v>-0.1</v>
      </c>
      <c r="J34" s="1">
        <f>IF(E34="","",-E34)</f>
        <v>-1.204</v>
      </c>
      <c r="K34" s="1">
        <f>IF(J34="","",IF(J34&lt;0,TRUNC(IF(J34="","",J34),1),ROUNDUP(IF(J34="","",J34),1)))</f>
        <v>-1.2</v>
      </c>
      <c r="L34" s="32">
        <f>IF(K34="","",Constants!$A$3+K34)</f>
        <v>-2.2000000000000002</v>
      </c>
      <c r="M34" s="32">
        <f>IF(I34="","",I34)</f>
        <v>-0.1</v>
      </c>
      <c r="N34" s="1" t="s">
        <v>31</v>
      </c>
    </row>
    <row r="35" spans="1:14" ht="15" customHeight="1" x14ac:dyDescent="0.25">
      <c r="A35" s="1">
        <v>2511</v>
      </c>
      <c r="B35" s="48">
        <v>45960</v>
      </c>
      <c r="C35" s="1">
        <v>-5.2999999999999999E-2</v>
      </c>
      <c r="D35" s="1">
        <v>0.94599999999999995</v>
      </c>
      <c r="E35" s="1">
        <v>0.97899999999999998</v>
      </c>
      <c r="F35" s="1">
        <v>0.95599999999999996</v>
      </c>
      <c r="G35" s="1">
        <v>87</v>
      </c>
      <c r="H35" s="16">
        <f>IF(C35="","",-C35)</f>
        <v>5.2999999999999999E-2</v>
      </c>
      <c r="I35" s="16">
        <f>IF(H35="","",IF(H35&lt;0,TRUNC(IF(H35="","",H35),1),ROUNDUP(IF(H35="","",H35),1)))</f>
        <v>0.1</v>
      </c>
      <c r="J35" s="1">
        <f>IF(E35="","",-E35)</f>
        <v>-0.97899999999999998</v>
      </c>
      <c r="K35" s="1">
        <f>IF(J35="","",IF(J35&lt;0,TRUNC(IF(J35="","",J35),1),ROUNDUP(IF(J35="","",J35),1)))</f>
        <v>-0.9</v>
      </c>
      <c r="L35" s="32">
        <f>IF(K35="","",Constants!$A$3+K35)</f>
        <v>-1.9</v>
      </c>
      <c r="M35" s="32">
        <f>IF(I35="","",I35)</f>
        <v>0.1</v>
      </c>
      <c r="N35" s="1" t="s">
        <v>31</v>
      </c>
    </row>
    <row r="36" spans="1:14" ht="15" customHeight="1" x14ac:dyDescent="0.25">
      <c r="A36" s="1">
        <v>2512</v>
      </c>
      <c r="B36" s="48">
        <v>45988</v>
      </c>
      <c r="C36" s="1">
        <v>-5.7000000000000002E-2</v>
      </c>
      <c r="D36" s="1">
        <v>0.89300000000000002</v>
      </c>
      <c r="E36" s="1">
        <v>0.97499999999999998</v>
      </c>
      <c r="F36" s="1">
        <v>0.90200000000000002</v>
      </c>
      <c r="G36" s="1">
        <v>98</v>
      </c>
      <c r="H36" s="16">
        <f>IF(C36="","",-C36)</f>
        <v>5.7000000000000002E-2</v>
      </c>
      <c r="I36" s="16">
        <f>IF(H36="","",IF(H36&lt;0,TRUNC(IF(H36="","",H36),1),ROUNDUP(IF(H36="","",H36),1)))</f>
        <v>0.1</v>
      </c>
      <c r="J36" s="1">
        <f>IF(E36="","",-E36)</f>
        <v>-0.97499999999999998</v>
      </c>
      <c r="K36" s="1">
        <f>IF(J36="","",IF(J36&lt;0,TRUNC(IF(J36="","",J36),1),ROUNDUP(IF(J36="","",J36),1)))</f>
        <v>-0.9</v>
      </c>
      <c r="L36" s="32">
        <f>IF(K36="","",Constants!$A$3+K36)</f>
        <v>-1.9</v>
      </c>
      <c r="M36" s="32">
        <f>IF(I36="","",I36)</f>
        <v>0.1</v>
      </c>
      <c r="N36" s="1" t="s">
        <v>28</v>
      </c>
    </row>
  </sheetData>
  <conditionalFormatting sqref="N2:N36">
    <cfRule type="cellIs" dxfId="1" priority="1" operator="equal">
      <formula>"YES"</formula>
    </cfRule>
  </conditionalFormatting>
  <conditionalFormatting sqref="O2:O36">
    <cfRule type="cellIs" dxfId="0" priority="3" operator="equal">
      <formula>"YES"</formula>
    </cfRule>
  </conditionalFormatting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929B5-6750-4C15-9CCB-CF0B539AC9B8}">
  <dimension ref="A1:A3"/>
  <sheetViews>
    <sheetView workbookViewId="0">
      <selection activeCell="F3" sqref="F3"/>
    </sheetView>
  </sheetViews>
  <sheetFormatPr baseColWidth="10" defaultColWidth="10.85546875" defaultRowHeight="15" x14ac:dyDescent="0.25"/>
  <cols>
    <col min="1" max="1" width="21.5703125" style="10" bestFit="1" customWidth="1"/>
    <col min="2" max="16384" width="10.85546875" style="10"/>
  </cols>
  <sheetData>
    <row r="1" spans="1:1" x14ac:dyDescent="0.25">
      <c r="A1" s="14" t="s">
        <v>64</v>
      </c>
    </row>
    <row r="2" spans="1:1" x14ac:dyDescent="0.25">
      <c r="A2" s="15" t="s">
        <v>65</v>
      </c>
    </row>
    <row r="3" spans="1:1" x14ac:dyDescent="0.25">
      <c r="A3" s="1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C471-67FB-4086-9352-0094C79A9FBC}">
  <dimension ref="A1:H12"/>
  <sheetViews>
    <sheetView workbookViewId="0">
      <selection activeCell="B10" sqref="B10"/>
    </sheetView>
  </sheetViews>
  <sheetFormatPr baseColWidth="10" defaultColWidth="11.42578125" defaultRowHeight="15" customHeight="1" x14ac:dyDescent="0.25"/>
  <cols>
    <col min="2" max="2" width="33.140625" customWidth="1"/>
    <col min="3" max="3" width="36.42578125" bestFit="1" customWidth="1"/>
    <col min="4" max="4" width="36.42578125" customWidth="1"/>
    <col min="5" max="5" width="15.5703125" bestFit="1" customWidth="1"/>
    <col min="6" max="7" width="15.5703125" customWidth="1"/>
  </cols>
  <sheetData>
    <row r="1" spans="1:8" ht="15" customHeight="1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s="44" t="s">
        <v>71</v>
      </c>
      <c r="G1" t="s">
        <v>72</v>
      </c>
      <c r="H1" t="s">
        <v>73</v>
      </c>
    </row>
    <row r="2" spans="1:8" ht="15" customHeight="1" x14ac:dyDescent="0.25">
      <c r="A2" t="s">
        <v>74</v>
      </c>
      <c r="B2" t="s">
        <v>75</v>
      </c>
      <c r="C2" t="s">
        <v>76</v>
      </c>
      <c r="F2" s="45"/>
      <c r="G2" s="43"/>
    </row>
    <row r="3" spans="1:8" ht="15" customHeight="1" x14ac:dyDescent="0.25">
      <c r="B3" s="46" t="s">
        <v>77</v>
      </c>
      <c r="D3">
        <v>901620</v>
      </c>
      <c r="E3">
        <v>1044</v>
      </c>
      <c r="F3" s="45">
        <f>Tableau7[[#This Row],[Days installed]]/365</f>
        <v>2.8602739726027395</v>
      </c>
      <c r="G3" s="43" t="s">
        <v>78</v>
      </c>
      <c r="H3">
        <v>1538</v>
      </c>
    </row>
    <row r="4" spans="1:8" ht="15" customHeight="1" x14ac:dyDescent="0.25">
      <c r="B4" s="46" t="s">
        <v>79</v>
      </c>
      <c r="D4">
        <v>901621</v>
      </c>
      <c r="E4">
        <v>1044</v>
      </c>
      <c r="F4" s="45">
        <f>Tableau7[[#This Row],[Days installed]]/365</f>
        <v>2.8602739726027395</v>
      </c>
      <c r="G4" s="43" t="s">
        <v>78</v>
      </c>
      <c r="H4">
        <v>1538</v>
      </c>
    </row>
    <row r="5" spans="1:8" ht="15" customHeight="1" x14ac:dyDescent="0.25">
      <c r="A5" t="s">
        <v>80</v>
      </c>
      <c r="B5" t="s">
        <v>75</v>
      </c>
      <c r="C5" t="s">
        <v>76</v>
      </c>
      <c r="F5" s="45"/>
      <c r="G5" s="43"/>
    </row>
    <row r="6" spans="1:8" ht="15" customHeight="1" x14ac:dyDescent="0.25">
      <c r="B6" s="46" t="s">
        <v>77</v>
      </c>
      <c r="D6">
        <v>901629</v>
      </c>
      <c r="E6">
        <v>1036</v>
      </c>
      <c r="F6" s="45">
        <f>Tableau7[[#This Row],[Days installed]]/365</f>
        <v>2.8383561643835615</v>
      </c>
      <c r="G6" s="43" t="s">
        <v>81</v>
      </c>
      <c r="H6">
        <v>1643</v>
      </c>
    </row>
    <row r="7" spans="1:8" ht="15" customHeight="1" x14ac:dyDescent="0.25">
      <c r="B7" s="46" t="s">
        <v>79</v>
      </c>
      <c r="D7">
        <v>901630</v>
      </c>
      <c r="E7">
        <v>1036</v>
      </c>
      <c r="F7" s="45">
        <f>Tableau7[[#This Row],[Days installed]]/365</f>
        <v>2.8383561643835615</v>
      </c>
      <c r="G7" s="43" t="s">
        <v>81</v>
      </c>
      <c r="H7">
        <v>1643</v>
      </c>
    </row>
    <row r="8" spans="1:8" ht="15" customHeight="1" x14ac:dyDescent="0.25">
      <c r="A8" t="s">
        <v>82</v>
      </c>
      <c r="B8" t="s">
        <v>83</v>
      </c>
      <c r="C8" t="s">
        <v>84</v>
      </c>
      <c r="F8" s="45"/>
      <c r="G8" s="43"/>
    </row>
    <row r="9" spans="1:8" ht="15" customHeight="1" x14ac:dyDescent="0.25">
      <c r="B9" s="46" t="s">
        <v>85</v>
      </c>
      <c r="D9">
        <v>42685</v>
      </c>
      <c r="E9">
        <v>515</v>
      </c>
      <c r="F9" s="45">
        <f>Tableau7[[#This Row],[Days installed]]/365</f>
        <v>1.4109589041095891</v>
      </c>
      <c r="G9" s="43">
        <v>200.38611111111112</v>
      </c>
      <c r="H9">
        <v>854</v>
      </c>
    </row>
    <row r="10" spans="1:8" ht="15" customHeight="1" x14ac:dyDescent="0.25">
      <c r="B10" s="46" t="s">
        <v>86</v>
      </c>
      <c r="D10">
        <v>42685</v>
      </c>
      <c r="E10">
        <v>3191</v>
      </c>
      <c r="F10" s="47">
        <f>Tableau7[[#This Row],[Days installed]]/365</f>
        <v>8.742465753424657</v>
      </c>
      <c r="G10" s="43" t="s">
        <v>87</v>
      </c>
      <c r="H10">
        <v>7488</v>
      </c>
    </row>
    <row r="11" spans="1:8" ht="15" customHeight="1" x14ac:dyDescent="0.25">
      <c r="B11" s="46" t="s">
        <v>88</v>
      </c>
      <c r="D11">
        <v>42491</v>
      </c>
      <c r="E11">
        <v>96</v>
      </c>
      <c r="F11" s="45">
        <f>Tableau7[[#This Row],[Days installed]]/365</f>
        <v>0.26301369863013696</v>
      </c>
      <c r="G11" s="43">
        <v>35.615972222222226</v>
      </c>
      <c r="H11">
        <v>107</v>
      </c>
    </row>
    <row r="12" spans="1:8" ht="15" customHeight="1" x14ac:dyDescent="0.25">
      <c r="B12" s="46" t="s">
        <v>89</v>
      </c>
      <c r="D12">
        <v>42491</v>
      </c>
      <c r="E12">
        <v>3792</v>
      </c>
      <c r="F12" s="47">
        <f>Tableau7[[#This Row],[Days installed]]/365</f>
        <v>10.389041095890411</v>
      </c>
      <c r="G12" s="43" t="s">
        <v>90</v>
      </c>
      <c r="H12">
        <v>8338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d0e73b-9820-424a-8e37-bcf88079b333">
      <Terms xmlns="http://schemas.microsoft.com/office/infopath/2007/PartnerControls"/>
    </lcf76f155ced4ddcb4097134ff3c332f>
    <TaxCatchAll xmlns="f7a85611-9493-4462-9663-6143448b9f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DEF83731A7D346BD116497F741E4E0" ma:contentTypeVersion="15" ma:contentTypeDescription="Crée un document." ma:contentTypeScope="" ma:versionID="f8afe681a0da315fde2cd8937360df13">
  <xsd:schema xmlns:xsd="http://www.w3.org/2001/XMLSchema" xmlns:xs="http://www.w3.org/2001/XMLSchema" xmlns:p="http://schemas.microsoft.com/office/2006/metadata/properties" xmlns:ns2="14d0e73b-9820-424a-8e37-bcf88079b333" xmlns:ns3="f7a85611-9493-4462-9663-6143448b9f48" targetNamespace="http://schemas.microsoft.com/office/2006/metadata/properties" ma:root="true" ma:fieldsID="b609a81502057bffa8bdd5fc274fd8b8" ns2:_="" ns3:_="">
    <xsd:import namespace="14d0e73b-9820-424a-8e37-bcf88079b333"/>
    <xsd:import namespace="f7a85611-9493-4462-9663-6143448b9f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0e73b-9820-424a-8e37-bcf88079b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322a20f-19a8-4b77-9148-0cfe2d2ca4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a85611-9493-4462-9663-6143448b9f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f16518-6b8e-4bc5-86f4-d1450dc6971c}" ma:internalName="TaxCatchAll" ma:showField="CatchAllData" ma:web="f7a85611-9493-4462-9663-6143448b9f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1560DC-499A-44AD-AFBE-3FF06BEC0F53}">
  <ds:schemaRefs>
    <ds:schemaRef ds:uri="http://schemas.microsoft.com/office/2006/metadata/properties"/>
    <ds:schemaRef ds:uri="http://schemas.microsoft.com/office/infopath/2007/PartnerControls"/>
    <ds:schemaRef ds:uri="14d0e73b-9820-424a-8e37-bcf88079b333"/>
    <ds:schemaRef ds:uri="f7a85611-9493-4462-9663-6143448b9f48"/>
  </ds:schemaRefs>
</ds:datastoreItem>
</file>

<file path=customXml/itemProps2.xml><?xml version="1.0" encoding="utf-8"?>
<ds:datastoreItem xmlns:ds="http://schemas.openxmlformats.org/officeDocument/2006/customXml" ds:itemID="{2C1BD0CF-6D4B-4C02-A3C5-1D7555724FC5}"/>
</file>

<file path=customXml/itemProps3.xml><?xml version="1.0" encoding="utf-8"?>
<ds:datastoreItem xmlns:ds="http://schemas.openxmlformats.org/officeDocument/2006/customXml" ds:itemID="{D3F12E7B-18D8-4AF9-9090-2286B69644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Front Page</vt:lpstr>
      <vt:lpstr>READ ME</vt:lpstr>
      <vt:lpstr>FHMRB</vt:lpstr>
      <vt:lpstr>FHMRF</vt:lpstr>
      <vt:lpstr>FHMRO</vt:lpstr>
      <vt:lpstr>FHMRI</vt:lpstr>
      <vt:lpstr>Constants</vt:lpstr>
      <vt:lpstr>Engine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PERSONNE Amélie</dc:creator>
  <cp:keywords/>
  <dc:description/>
  <cp:lastModifiedBy>BRUNETEAU Florian</cp:lastModifiedBy>
  <cp:revision/>
  <dcterms:created xsi:type="dcterms:W3CDTF">2015-06-05T18:17:20Z</dcterms:created>
  <dcterms:modified xsi:type="dcterms:W3CDTF">2025-12-01T13:46:10Z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0x01010095DEF83731A7D346BD116497F741E4E0</vt:lpwstr>
  </property>
  <property fmtid="{D5CDD505-2E9C-101B-9397-08002B2CF9AE}" pid="4" name="_ExtendedDescription">
    <vt:lpwstr/>
  </property>
</Properties>
</file>